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KTNN\KTNH\Kiểm toán_NHNN\dataset\data_all\"/>
    </mc:Choice>
  </mc:AlternateContent>
  <xr:revisionPtr revIDLastSave="0" documentId="13_ncr:1_{D882D2FA-5638-40DD-A1AF-5F98B8BB7812}" xr6:coauthVersionLast="36" xr6:coauthVersionMax="36" xr10:uidLastSave="{00000000-0000-0000-0000-000000000000}"/>
  <bookViews>
    <workbookView xWindow="0" yWindow="0" windowWidth="19200" windowHeight="8630" activeTab="2" xr2:uid="{00000000-000D-0000-FFFF-FFFF00000000}"/>
  </bookViews>
  <sheets>
    <sheet name="Ngày" sheetId="1" r:id="rId1"/>
    <sheet name="Tháng" sheetId="2" r:id="rId2"/>
    <sheet name="Quý" sheetId="3" r:id="rId3"/>
    <sheet name="Sheet1" sheetId="5" r:id="rId4"/>
    <sheet name="Năm" sheetId="4" r:id="rId5"/>
  </sheets>
  <calcPr calcId="191029"/>
</workbook>
</file>

<file path=xl/calcChain.xml><?xml version="1.0" encoding="utf-8"?>
<calcChain xmlns="http://schemas.openxmlformats.org/spreadsheetml/2006/main">
  <c r="G9" i="5" l="1"/>
</calcChain>
</file>

<file path=xl/sharedStrings.xml><?xml version="1.0" encoding="utf-8"?>
<sst xmlns="http://schemas.openxmlformats.org/spreadsheetml/2006/main" count="363" uniqueCount="191">
  <si>
    <t>AGRIBANK – CHỈ TIÊU GIÁM SÁT AN TOÀN HOẠT ĐỘNG – TẦN SUẤT NGÀY (ngày cuối tháng, 2023–2025)</t>
  </si>
  <si>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</si>
  <si>
    <t>STT</t>
  </si>
  <si>
    <t>Nhóm chỉ tiêu/chỉ tiêu</t>
  </si>
  <si>
    <t>Đơn vị</t>
  </si>
  <si>
    <t>CAMELS</t>
  </si>
  <si>
    <t>31/01/2023</t>
  </si>
  <si>
    <t>28/02/2023</t>
  </si>
  <si>
    <t>31/03/2023</t>
  </si>
  <si>
    <t>28/04/2023</t>
  </si>
  <si>
    <t>31/05/2023</t>
  </si>
  <si>
    <t>30/06/2023</t>
  </si>
  <si>
    <t>31/07/2023</t>
  </si>
  <si>
    <t>31/08/2023</t>
  </si>
  <si>
    <t>29/09/2023</t>
  </si>
  <si>
    <t>31/10/2023</t>
  </si>
  <si>
    <t>30/11/2023</t>
  </si>
  <si>
    <t>29/12/2023</t>
  </si>
  <si>
    <t>31/01/2024</t>
  </si>
  <si>
    <t>29/02/2024</t>
  </si>
  <si>
    <t>29/03/2024</t>
  </si>
  <si>
    <t>30/04/2024</t>
  </si>
  <si>
    <t>31/05/2024</t>
  </si>
  <si>
    <t>28/06/2024</t>
  </si>
  <si>
    <t>31/07/2024</t>
  </si>
  <si>
    <t>30/08/2024</t>
  </si>
  <si>
    <t>30/09/2024</t>
  </si>
  <si>
    <t>31/10/2024</t>
  </si>
  <si>
    <t>29/11/2024</t>
  </si>
  <si>
    <t>31/12/2024</t>
  </si>
  <si>
    <t>24/01/2025</t>
  </si>
  <si>
    <t>28/02/2025</t>
  </si>
  <si>
    <t>31/03/2025</t>
  </si>
  <si>
    <t>29/04/2025</t>
  </si>
  <si>
    <t>30/05/2025</t>
  </si>
  <si>
    <t>30/06/2025</t>
  </si>
  <si>
    <t>31/07/2025</t>
  </si>
  <si>
    <t>29/08/2025</t>
  </si>
  <si>
    <t>30/09/2025</t>
  </si>
  <si>
    <t>31/10/2025</t>
  </si>
  <si>
    <t>28/11/2025</t>
  </si>
  <si>
    <t>31/12/2025</t>
  </si>
  <si>
    <t>Tài sản thanh khoản cao (HQLA)</t>
  </si>
  <si>
    <t>Tỷ đồng</t>
  </si>
  <si>
    <t>L</t>
  </si>
  <si>
    <t>Dòng tiền ra ròng trong 30 ngày</t>
  </si>
  <si>
    <t>Tỷ lệ dự trữ thanh khoản</t>
  </si>
  <si>
    <t>%</t>
  </si>
  <si>
    <t>Tỷ lệ khả năng chi trả trong 30 ngày</t>
  </si>
  <si>
    <t>Dòng tiền ra ròng trong 30 ngày (ngoại tệ)</t>
  </si>
  <si>
    <t>Tỷ lệ khả năng chi trả 30 ngày (ngoại tệ)</t>
  </si>
  <si>
    <t>AGRIBANK – CHỈ TIÊU GIÁM SÁT AN TOÀN HOẠT ĐỘNG – TẦN SUẤT THÁNG (T01/2023–T12/2025)</t>
  </si>
  <si>
    <t>T01/2023</t>
  </si>
  <si>
    <t>T02/2023</t>
  </si>
  <si>
    <t>T03/2023</t>
  </si>
  <si>
    <t>T04/2023</t>
  </si>
  <si>
    <t>T05/2023</t>
  </si>
  <si>
    <t>T06/2023</t>
  </si>
  <si>
    <t>T07/2023</t>
  </si>
  <si>
    <t>T08/2023</t>
  </si>
  <si>
    <t>T09/2023</t>
  </si>
  <si>
    <t>T10/2023</t>
  </si>
  <si>
    <t>T11/2023</t>
  </si>
  <si>
    <t>T12/2023</t>
  </si>
  <si>
    <t>T01/2024</t>
  </si>
  <si>
    <t>T02/2024</t>
  </si>
  <si>
    <t>T03/2024</t>
  </si>
  <si>
    <t>T04/2024</t>
  </si>
  <si>
    <t>T05/2024</t>
  </si>
  <si>
    <t>T06/2024</t>
  </si>
  <si>
    <t>T07/2024</t>
  </si>
  <si>
    <t>T08/2024</t>
  </si>
  <si>
    <t>T09/2024</t>
  </si>
  <si>
    <t>T10/2024</t>
  </si>
  <si>
    <t>T11/2024</t>
  </si>
  <si>
    <t>T12/2024</t>
  </si>
  <si>
    <t>T01/2025</t>
  </si>
  <si>
    <t>T02/2025</t>
  </si>
  <si>
    <t>T03/2025</t>
  </si>
  <si>
    <t>T04/2025</t>
  </si>
  <si>
    <t>T05/2025</t>
  </si>
  <si>
    <t>T06/2025</t>
  </si>
  <si>
    <t>T07/2025</t>
  </si>
  <si>
    <t>T08/2025</t>
  </si>
  <si>
    <t>T09/2025</t>
  </si>
  <si>
    <t>T10/2025</t>
  </si>
  <si>
    <t>T11/2025</t>
  </si>
  <si>
    <t>T12/2025</t>
  </si>
  <si>
    <t>Tổng dư nợ cho vay trung, dài hạn</t>
  </si>
  <si>
    <t>A</t>
  </si>
  <si>
    <t>Giá trị vốn cấp 1</t>
  </si>
  <si>
    <t>C</t>
  </si>
  <si>
    <t>Giá trị vốn cấp 2</t>
  </si>
  <si>
    <t>Tài sản có rủi ro (RWA)</t>
  </si>
  <si>
    <t>Tổng nguồn vốn ngắn hạn</t>
  </si>
  <si>
    <t>Tổng nguồn vốn trung, dài hạn</t>
  </si>
  <si>
    <t>Tổng giá trị mua, đầu tư TPCP, TP được CP bảo lãnh</t>
  </si>
  <si>
    <t>S</t>
  </si>
  <si>
    <t>Tổng vốn yêu cầu cho rủi ro hoạt động</t>
  </si>
  <si>
    <t>Tổng vốn yêu cầu cho rủi ro thị trường</t>
  </si>
  <si>
    <t>Tỷ lệ an toàn vốn tối thiểu (CAR) (riêng lẻ)</t>
  </si>
  <si>
    <t>Tỷ lệ an toàn vốn cấp 1</t>
  </si>
  <si>
    <t>Tỷ lệ mua, đầu tư trái phiếu Chính phủ, trái phiếu được Chính phủ bảo lãnh</t>
  </si>
  <si>
    <t>Tỷ lệ dư nợ cho vay so với tổng tiền gửi (LDR)</t>
  </si>
  <si>
    <t>Tỷ lệ nợ xấu</t>
  </si>
  <si>
    <t>Tỷ lệ nợ Nhóm 2 so với tổng nợ</t>
  </si>
  <si>
    <t>Tỷ lệ nguồn vốn ngắn hạn được sử dụng để cho vay trung và dài hạn</t>
  </si>
  <si>
    <t>Tỷ lệ cho vay trên tổng nguồn vốn</t>
  </si>
  <si>
    <t>Vốn tự có (riêng lẻ)</t>
  </si>
  <si>
    <t>Tài sản tính theo rủi ro tín dụng (RWA tín dụng)</t>
  </si>
  <si>
    <t>Vốn điều lệ</t>
  </si>
  <si>
    <t>Quỹ của tổ chức tín dụng</t>
  </si>
  <si>
    <t>Tiền mặt, chứng từ có giá trị ngoại tệ, kim loại quý</t>
  </si>
  <si>
    <t>Tiền gửi tại Ngân hàng Nhà nước</t>
  </si>
  <si>
    <t>Tiền gửi của khách hàng</t>
  </si>
  <si>
    <t>Phát hành giấy tờ có giá</t>
  </si>
  <si>
    <t>Tổng dư nợ tín dụng KH cá nhân, tổ chức kinh tế</t>
  </si>
  <si>
    <t>Các khoản lãi và phí phải thu (lãi dự thu)</t>
  </si>
  <si>
    <t>Tỷ lệ nợ và cam kết ngoại bảng nhóm 3-5 / tổng (1-5)</t>
  </si>
  <si>
    <t>AGRIBANK – CHỈ TIÊU GIÁM SÁT AN TOÀN HOẠT ĐỘNG – TẦN SUẤT QUÝ (Q1/2023–Q4/2025)</t>
  </si>
  <si>
    <t>Q1/2023</t>
  </si>
  <si>
    <t>Q2/2023</t>
  </si>
  <si>
    <t>Q3/2023</t>
  </si>
  <si>
    <t>Q4/2023</t>
  </si>
  <si>
    <t>Q1/2024</t>
  </si>
  <si>
    <t>Q2/2024</t>
  </si>
  <si>
    <t>Q3/2024</t>
  </si>
  <si>
    <t>Q4/2024</t>
  </si>
  <si>
    <t>Q1/2025</t>
  </si>
  <si>
    <t>Q2/2025</t>
  </si>
  <si>
    <t>Q3/2025</t>
  </si>
  <si>
    <t>Q4/2025</t>
  </si>
  <si>
    <t>Tổng tài sản</t>
  </si>
  <si>
    <t>Tổng tiền gửi</t>
  </si>
  <si>
    <t>Tổng tiền gửi của khách hàng và Phát hành giấy tờ có giá</t>
  </si>
  <si>
    <t>Tổng Tiền gửi của các TCTD khác và Vay các TCTD khác</t>
  </si>
  <si>
    <t>Tổng dư nợ cho vay khách hàng ngắn hạn</t>
  </si>
  <si>
    <t>Tổng nợ phải trả</t>
  </si>
  <si>
    <t>Tổng nợ xấu</t>
  </si>
  <si>
    <t>Số dư dự phòng rủi ro tín dụng</t>
  </si>
  <si>
    <t>Tổng vốn chủ sở hữu</t>
  </si>
  <si>
    <t>Tổng dư nợ cho vay khách hàng (gộp)</t>
  </si>
  <si>
    <t>Tiền gửi và cho vay các TCTD khác (tài sản)</t>
  </si>
  <si>
    <t>Chứng khoán đầu tư</t>
  </si>
  <si>
    <t>Tỷ lệ vốn chủ sở hữu / tổng tài sản</t>
  </si>
  <si>
    <t>Tỷ lệ bao phủ nợ xấu (LLR)</t>
  </si>
  <si>
    <t>Tỷ lệ tiền gửi không kỳ hạn (CASA)</t>
  </si>
  <si>
    <t>Tỷ lệ nợ nhóm 5 (có khả năng mất vốn) / dư nợ</t>
  </si>
  <si>
    <t>Tỷ lệ dư nợ trung-dài hạn / tổng dư nợ</t>
  </si>
  <si>
    <t>Tỷ lệ an toàn vốn (CAR) hợp nhất</t>
  </si>
  <si>
    <t>Tỷ lệ góp vốn, mua cổ phần / VĐL và quỹ</t>
  </si>
  <si>
    <t>Tỷ lệ dự phòng RR chứng khoán KD, đầu tư / số dư CK</t>
  </si>
  <si>
    <t>AGRIBANK – CHỈ TIÊU GIÁM SÁT AN TOÀN HOẠT ĐỘNG – TẦN SUẤT NĂM</t>
  </si>
  <si>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</si>
  <si>
    <t>Khung CAMELS</t>
  </si>
  <si>
    <t>C – AN TOÀN VỐN</t>
  </si>
  <si>
    <t>Giá trị thực của vốn điều lệ</t>
  </si>
  <si>
    <t>A – CHẤT LƯỢNG TÀI SẢN</t>
  </si>
  <si>
    <t>Chi phí dự phòng rủi ro tín dụng</t>
  </si>
  <si>
    <t>Số ngày lãi phải thu</t>
  </si>
  <si>
    <t>Ngày</t>
  </si>
  <si>
    <t>Tổng cam kết ngoại bảng</t>
  </si>
  <si>
    <t>Dư nợ ngành nông nghiệp, lâm nghiệp, thủy sản (lĩnh vực ưu tiên)</t>
  </si>
  <si>
    <t>Dư nợ cấp tín dụng lĩnh vực tiềm ẩn rủi ro</t>
  </si>
  <si>
    <t>Dư nợ cấp tín dụng lĩnh vực bất động sản</t>
  </si>
  <si>
    <t>Tỷ lệ dư nợ đầu tư, kinh doanh bất động sản</t>
  </si>
  <si>
    <t>Dư nợ nhóm khách hàng có dư nợ ≥ 1.000 tỷ đồng</t>
  </si>
  <si>
    <t>Dư nợ 100 khách hàng lớn nhất và người liên quan (nội bảng)</t>
  </si>
  <si>
    <t>Tỷ lệ dư nợ nhóm khách hàng lớn nhất / dư nợ cho vay</t>
  </si>
  <si>
    <t>Dư nợ cấp tín dụng không có tài sản bảo đảm</t>
  </si>
  <si>
    <t>M – NĂNG LỰC QUẢN TRỊ, ĐIỀU HÀNH</t>
  </si>
  <si>
    <t>Tỷ lệ chi phí / thu nhập (CIR)</t>
  </si>
  <si>
    <t>Tăng trưởng dư nợ tín dụng (so cùng kỳ)</t>
  </si>
  <si>
    <t>Tăng trưởng tổng tài sản (so cùng kỳ)</t>
  </si>
  <si>
    <t>E – KHẢ NĂNG SINH LỜI</t>
  </si>
  <si>
    <t>Thu nhập lãi và các khoản thu nhập tương tự (gộp)</t>
  </si>
  <si>
    <t>Thu nhập lãi thuần (NII)</t>
  </si>
  <si>
    <t>Tổng thu nhập hoạt động (TOI)</t>
  </si>
  <si>
    <t>Chi phí hoạt động</t>
  </si>
  <si>
    <t>Lợi nhuận trước thuế</t>
  </si>
  <si>
    <t>Lợi nhuận sau thuế</t>
  </si>
  <si>
    <t>Tỷ lệ thu nhập lãi cận biên (NIM)</t>
  </si>
  <si>
    <t>Tỷ suất sinh lời tổng tài sản (ROA)</t>
  </si>
  <si>
    <t>Tỷ suất sinh lời vốn chủ sở hữu (ROE)</t>
  </si>
  <si>
    <t>L – KHẢ NĂNG THANH KHOẢN</t>
  </si>
  <si>
    <t>Tỷ lệ tài sản thanh khoản cao bình quân / tổng tài sản bình quân</t>
  </si>
  <si>
    <t>S – MỨC ĐỘ NHẠY CẢM RỦI RO THỊ TRƯỜNG</t>
  </si>
  <si>
    <t>Tổng giá trị tài sản nhạy cảm với lãi suất</t>
  </si>
  <si>
    <t>Nợ phải trả nhạy cảm với lãi suất</t>
  </si>
  <si>
    <t>Tỷ lệ chênh lệch tài sản - nợ nhạy cảm lãi suất / vốn chủ sở hữu</t>
  </si>
  <si>
    <t>Tỷ lệ trạng thái ngoại tệ trên vốn tự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</si>
</sst>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i/>
      <sz val="11"/>
      <color theme="1"/>
      <name val="Calibri"/>
      <family val="2"/>
      <scheme val="minor"/>
    </font>
    <font>
      <b/>
      <sz val="11"/>
      <color rgb="FFFFFFFF"/>
      <name val="Calibri"/>
      <family val="2"/>
      <scheme val="minor"/>
    </font>
    <font>
      <b/>
      <sz val="12"/>
      <color theme="1"/>
      <name val="Calibri"/>
      <family val="2"/>
      <scheme val="minor"/>
    </font>
    <font>
      <b/>
      <sz val="13"/>
      <name val="Calibri"/>
    </font>
    <font>
      <sz val="11"/>
      <name val="Calibri"/>
    </font>
    <font>
      <b/>
      <sz val="11"/>
      <color rgb="FFFFFFFF"/>
      <name val="Calibri"/>
    </font>
  </fonts>
  <fills count="5">
    <fill>
      <patternFill patternType="none"/>
    </fill>
    <fill>
      <patternFill patternType="gray125"/>
    </fill>
    <fill>
      <patternFill patternType="solid">
        <fgColor rgb="FFBCBCBC"/>
        <bgColor indexed="64"/>
      </patternFill>
    </fill>
    <fill>
      <patternFill patternType="solid">
        <fgColor rgb="FFBCBCBC"/>
      </patternFill>
    </fill>
    <fill>
      <patternFill patternType="solid">
        <fgColor rgb="FFC3D5E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0" fillId="0" borderId="1" xfId="0" applyBorder="1" applyAlignment="1">
      <alignment wrapText="1"/>
    </xf>
    <xf numFmtId="0" fontId="0" fillId="0" borderId="0" xfId="0" applyAlignment="1">
      <alignment wrapText="1"/>
    </xf>
    <xf numFmtId="0" fontId="0" fillId="0" borderId="1" xfId="0" applyBorder="1" applyAlignment="1">
      <alignment horizontal="center"/>
    </xf>
    <xf numFmtId="0" fontId="0" fillId="0" borderId="1" xfId="0" applyBorder="1"/>
    <xf numFmtId="4" fontId="0" fillId="0" borderId="1" xfId="0" applyNumberFormat="1" applyBorder="1"/>
    <xf numFmtId="0" fontId="2" fillId="2" borderId="1" xfId="0" applyFont="1" applyFill="1" applyBorder="1" applyAlignment="1">
      <alignment horizontal="center" wrapText="1"/>
    </xf>
    <xf numFmtId="0" fontId="6" fillId="3" borderId="2"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vertical="center" wrapText="1"/>
    </xf>
    <xf numFmtId="0" fontId="5" fillId="0" borderId="2" xfId="0" applyFont="1" applyBorder="1"/>
    <xf numFmtId="4" fontId="5" fillId="0" borderId="2" xfId="0" applyNumberFormat="1" applyFont="1" applyBorder="1"/>
    <xf numFmtId="0" fontId="1" fillId="0" borderId="0" xfId="0" applyFont="1" applyAlignment="1">
      <alignment wrapText="1"/>
    </xf>
    <xf numFmtId="0" fontId="0" fillId="0" borderId="0" xfId="0" applyAlignment="1">
      <alignment wrapText="1"/>
    </xf>
    <xf numFmtId="0" fontId="0" fillId="0" borderId="0" xfId="0"/>
    <xf numFmtId="0" fontId="3" fillId="0" borderId="0" xfId="0" applyFont="1"/>
    <xf numFmtId="0" fontId="6" fillId="4" borderId="2" xfId="0" applyFont="1" applyFill="1" applyBorder="1" applyAlignment="1">
      <alignment horizontal="center" vertical="center"/>
    </xf>
    <xf numFmtId="0" fontId="0" fillId="0" borderId="2" xfId="0" applyBorder="1"/>
    <xf numFmtId="0" fontId="4" fillId="0" borderId="0" xfId="0" applyFont="1"/>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
  <sheetViews>
    <sheetView workbookViewId="0">
      <selection activeCell="AO3" sqref="AO1:AO1048576"/>
    </sheetView>
  </sheetViews>
  <sheetFormatPr defaultRowHeight="14.5"/>
  <cols>
    <col min="1" max="1" width="4.6328125" customWidth="1"/>
    <col min="2" max="2" width="40.6328125" style="2" customWidth="1"/>
    <col min="3" max="3" width="8.6328125" customWidth="1"/>
    <col min="4" max="4" width="7.6328125" customWidth="1"/>
    <col min="5" max="40" width="11.6328125" customWidth="1"/>
  </cols>
  <sheetData>
    <row r="1" spans="1:40" ht="15.5" customHeight="1">
      <c r="A1" s="15" t="s">
        <v>0</v>
      </c>
      <c r="B1" s="13"/>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row>
    <row r="2" spans="1:40" ht="44" customHeight="1">
      <c r="A2" s="12" t="s">
        <v>1</v>
      </c>
      <c r="B2" s="13"/>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row>
    <row r="4" spans="1:40">
      <c r="A4" s="6" t="s">
        <v>2</v>
      </c>
      <c r="B4" s="6" t="s">
        <v>3</v>
      </c>
      <c r="C4" s="6" t="s">
        <v>4</v>
      </c>
      <c r="D4" s="6" t="s">
        <v>5</v>
      </c>
      <c r="E4" s="6" t="s">
        <v>6</v>
      </c>
      <c r="F4" s="6" t="s">
        <v>7</v>
      </c>
      <c r="G4" s="6" t="s">
        <v>8</v>
      </c>
      <c r="H4" s="6" t="s">
        <v>9</v>
      </c>
      <c r="I4" s="6" t="s">
        <v>10</v>
      </c>
      <c r="J4" s="6" t="s">
        <v>11</v>
      </c>
      <c r="K4" s="6" t="s">
        <v>12</v>
      </c>
      <c r="L4" s="6" t="s">
        <v>13</v>
      </c>
      <c r="M4" s="6" t="s">
        <v>14</v>
      </c>
      <c r="N4" s="6" t="s">
        <v>15</v>
      </c>
      <c r="O4" s="6" t="s">
        <v>16</v>
      </c>
      <c r="P4" s="6" t="s">
        <v>17</v>
      </c>
      <c r="Q4" s="6" t="s">
        <v>18</v>
      </c>
      <c r="R4" s="6" t="s">
        <v>19</v>
      </c>
      <c r="S4" s="6" t="s">
        <v>20</v>
      </c>
      <c r="T4" s="6" t="s">
        <v>21</v>
      </c>
      <c r="U4" s="6" t="s">
        <v>22</v>
      </c>
      <c r="V4" s="6" t="s">
        <v>23</v>
      </c>
      <c r="W4" s="6" t="s">
        <v>24</v>
      </c>
      <c r="X4" s="6" t="s">
        <v>25</v>
      </c>
      <c r="Y4" s="6" t="s">
        <v>26</v>
      </c>
      <c r="Z4" s="6" t="s">
        <v>27</v>
      </c>
      <c r="AA4" s="6" t="s">
        <v>28</v>
      </c>
      <c r="AB4" s="6" t="s">
        <v>29</v>
      </c>
      <c r="AC4" s="6" t="s">
        <v>30</v>
      </c>
      <c r="AD4" s="6" t="s">
        <v>31</v>
      </c>
      <c r="AE4" s="6" t="s">
        <v>32</v>
      </c>
      <c r="AF4" s="6" t="s">
        <v>33</v>
      </c>
      <c r="AG4" s="6" t="s">
        <v>34</v>
      </c>
      <c r="AH4" s="6" t="s">
        <v>35</v>
      </c>
      <c r="AI4" s="6" t="s">
        <v>36</v>
      </c>
      <c r="AJ4" s="6" t="s">
        <v>37</v>
      </c>
      <c r="AK4" s="6" t="s">
        <v>38</v>
      </c>
      <c r="AL4" s="6" t="s">
        <v>39</v>
      </c>
      <c r="AM4" s="6" t="s">
        <v>40</v>
      </c>
      <c r="AN4" s="6" t="s">
        <v>41</v>
      </c>
    </row>
    <row r="5" spans="1:40">
      <c r="A5" s="3">
        <v>1</v>
      </c>
      <c r="B5" s="1" t="s">
        <v>42</v>
      </c>
      <c r="C5" s="4" t="s">
        <v>43</v>
      </c>
      <c r="D5" s="4" t="s">
        <v>44</v>
      </c>
      <c r="E5" s="5">
        <v>282311.02</v>
      </c>
      <c r="F5" s="5">
        <v>301045.96999999997</v>
      </c>
      <c r="G5" s="5">
        <v>312416.34999999998</v>
      </c>
      <c r="H5" s="5">
        <v>312617.86</v>
      </c>
      <c r="I5" s="5">
        <v>296013.05</v>
      </c>
      <c r="J5" s="5">
        <v>303628.28000000003</v>
      </c>
      <c r="K5" s="5">
        <v>313599.53999999998</v>
      </c>
      <c r="L5" s="5">
        <v>295516.28999999998</v>
      </c>
      <c r="M5" s="5">
        <v>296846.48</v>
      </c>
      <c r="N5" s="5">
        <v>319646.59000000003</v>
      </c>
      <c r="O5" s="5">
        <v>310177.17</v>
      </c>
      <c r="P5" s="5">
        <v>319661.89</v>
      </c>
      <c r="Q5" s="5">
        <v>354973</v>
      </c>
      <c r="R5" s="5">
        <v>387552.85</v>
      </c>
      <c r="S5" s="5">
        <v>359225.59</v>
      </c>
      <c r="T5" s="5">
        <v>342788.58</v>
      </c>
      <c r="U5" s="5">
        <v>345737.36</v>
      </c>
      <c r="V5" s="5">
        <v>332944.56</v>
      </c>
      <c r="W5" s="5">
        <v>335486.31</v>
      </c>
      <c r="X5" s="5">
        <v>314880.67</v>
      </c>
      <c r="Y5" s="5">
        <v>320782.63</v>
      </c>
      <c r="Z5" s="5">
        <v>311285.43</v>
      </c>
      <c r="AA5" s="5">
        <v>332414.37</v>
      </c>
      <c r="AB5" s="5">
        <v>332184.78000000003</v>
      </c>
      <c r="AC5" s="5">
        <v>306643.67</v>
      </c>
      <c r="AD5" s="5">
        <v>294398.44</v>
      </c>
      <c r="AE5" s="5">
        <v>321095.78999999998</v>
      </c>
      <c r="AF5" s="5">
        <v>339461.12</v>
      </c>
      <c r="AG5" s="5">
        <v>320803.21999999997</v>
      </c>
      <c r="AH5" s="5">
        <v>338068.27</v>
      </c>
      <c r="AI5" s="5">
        <v>344416.48</v>
      </c>
      <c r="AJ5" s="5">
        <v>348908.89</v>
      </c>
      <c r="AK5" s="5">
        <v>346408.6</v>
      </c>
      <c r="AL5" s="5">
        <v>341124.92</v>
      </c>
      <c r="AM5" s="5">
        <v>392377.76</v>
      </c>
      <c r="AN5" s="5">
        <v>394164.33</v>
      </c>
    </row>
    <row r="6" spans="1:40">
      <c r="A6" s="3">
        <v>2</v>
      </c>
      <c r="B6" s="1" t="s">
        <v>45</v>
      </c>
      <c r="C6" s="4" t="s">
        <v>43</v>
      </c>
      <c r="D6" s="4" t="s">
        <v>44</v>
      </c>
      <c r="E6" s="5">
        <v>144295.4</v>
      </c>
      <c r="F6" s="5">
        <v>168652.79999999999</v>
      </c>
      <c r="G6" s="5">
        <v>143895.12</v>
      </c>
      <c r="H6" s="5">
        <v>105347.99</v>
      </c>
      <c r="I6" s="5">
        <v>111244.76</v>
      </c>
      <c r="J6" s="5">
        <v>110979.43</v>
      </c>
      <c r="K6" s="5">
        <v>130959.34</v>
      </c>
      <c r="L6" s="5">
        <v>99602.02</v>
      </c>
      <c r="M6" s="5">
        <v>121036.3</v>
      </c>
      <c r="N6" s="5">
        <v>210158.5</v>
      </c>
      <c r="O6" s="5">
        <v>172821.29</v>
      </c>
      <c r="P6" s="5">
        <v>106909.89</v>
      </c>
      <c r="Q6" s="5">
        <v>120965.7</v>
      </c>
      <c r="R6" s="5">
        <v>101767.57</v>
      </c>
      <c r="S6" s="5">
        <v>81299.210000000006</v>
      </c>
      <c r="T6" s="5">
        <v>91032.31</v>
      </c>
      <c r="U6" s="5">
        <v>115675.46</v>
      </c>
      <c r="V6" s="5">
        <v>100537.82</v>
      </c>
      <c r="W6" s="5">
        <v>88941.97</v>
      </c>
      <c r="X6" s="5">
        <v>-6518.67</v>
      </c>
      <c r="Y6" s="5">
        <v>-2754.9</v>
      </c>
      <c r="Z6" s="5">
        <v>152656.22</v>
      </c>
      <c r="AA6" s="5">
        <v>195830.86</v>
      </c>
      <c r="AB6" s="5">
        <v>147329.16</v>
      </c>
      <c r="AC6" s="5">
        <v>173479.39</v>
      </c>
      <c r="AD6" s="5">
        <v>102792.45</v>
      </c>
      <c r="AE6" s="5">
        <v>150546.18</v>
      </c>
      <c r="AF6" s="5">
        <v>195955.86</v>
      </c>
      <c r="AG6" s="5">
        <v>159627.76</v>
      </c>
      <c r="AH6" s="5">
        <v>173604.91</v>
      </c>
      <c r="AI6" s="5">
        <v>167022.95000000001</v>
      </c>
      <c r="AJ6" s="5">
        <v>134115.39000000001</v>
      </c>
      <c r="AK6" s="5">
        <v>114504.27</v>
      </c>
      <c r="AL6" s="5">
        <v>153353.42000000001</v>
      </c>
      <c r="AM6" s="5">
        <v>205811.33</v>
      </c>
      <c r="AN6" s="5">
        <v>233990.26</v>
      </c>
    </row>
    <row r="7" spans="1:40">
      <c r="A7" s="3">
        <v>3</v>
      </c>
      <c r="B7" s="1" t="s">
        <v>46</v>
      </c>
      <c r="C7" s="4" t="s">
        <v>47</v>
      </c>
      <c r="D7" s="4" t="s">
        <v>44</v>
      </c>
      <c r="E7" s="5">
        <v>15.71</v>
      </c>
      <c r="F7" s="5">
        <v>17.14</v>
      </c>
      <c r="G7" s="5">
        <v>17.510000000000002</v>
      </c>
      <c r="H7" s="5">
        <v>17.5</v>
      </c>
      <c r="I7" s="5">
        <v>16.420000000000002</v>
      </c>
      <c r="J7" s="5">
        <v>16.68</v>
      </c>
      <c r="K7" s="5">
        <v>17.14</v>
      </c>
      <c r="L7" s="5">
        <v>16.14</v>
      </c>
      <c r="M7" s="5">
        <v>16.420000000000002</v>
      </c>
      <c r="N7" s="5">
        <v>17</v>
      </c>
      <c r="O7" s="5">
        <v>16.399999999999999</v>
      </c>
      <c r="P7" s="5">
        <v>16.43</v>
      </c>
      <c r="Q7" s="5">
        <v>18.21</v>
      </c>
      <c r="R7" s="5">
        <v>19.88</v>
      </c>
      <c r="S7" s="5">
        <v>18.68</v>
      </c>
      <c r="T7" s="5">
        <v>17.600000000000001</v>
      </c>
      <c r="U7" s="5">
        <v>17.79</v>
      </c>
      <c r="V7" s="5">
        <v>17.170000000000002</v>
      </c>
      <c r="W7" s="5">
        <v>17.149999999999999</v>
      </c>
      <c r="X7" s="5">
        <v>16.12</v>
      </c>
      <c r="Y7" s="5">
        <v>15.91</v>
      </c>
      <c r="Z7" s="5">
        <v>15.32</v>
      </c>
      <c r="AA7" s="5">
        <v>16.329999999999998</v>
      </c>
      <c r="AB7" s="5">
        <v>15.67</v>
      </c>
      <c r="AC7" s="5">
        <v>14.75</v>
      </c>
      <c r="AD7" s="5">
        <v>14.01</v>
      </c>
      <c r="AE7" s="5">
        <v>14.78</v>
      </c>
      <c r="AF7" s="5">
        <v>15.64</v>
      </c>
      <c r="AG7" s="5">
        <v>14.67</v>
      </c>
      <c r="AH7" s="5">
        <v>14.91</v>
      </c>
      <c r="AI7" s="5">
        <v>15.35</v>
      </c>
      <c r="AJ7" s="5">
        <v>15.26</v>
      </c>
      <c r="AK7" s="5">
        <v>14.72</v>
      </c>
      <c r="AL7" s="5">
        <v>14.32</v>
      </c>
      <c r="AM7" s="5">
        <v>16.239999999999998</v>
      </c>
      <c r="AN7" s="5">
        <v>15.77</v>
      </c>
    </row>
    <row r="8" spans="1:40">
      <c r="A8" s="3">
        <v>4</v>
      </c>
      <c r="B8" s="1" t="s">
        <v>48</v>
      </c>
      <c r="C8" s="4" t="s">
        <v>47</v>
      </c>
      <c r="D8" s="4" t="s">
        <v>44</v>
      </c>
      <c r="E8" s="5">
        <v>127.26</v>
      </c>
      <c r="F8" s="5">
        <v>129.25</v>
      </c>
      <c r="G8" s="5">
        <v>172.35</v>
      </c>
      <c r="H8" s="5">
        <v>199.95</v>
      </c>
      <c r="I8" s="5">
        <v>183.42</v>
      </c>
      <c r="J8" s="5">
        <v>222.75</v>
      </c>
      <c r="K8" s="5">
        <v>188.65</v>
      </c>
      <c r="L8" s="5">
        <v>223.18</v>
      </c>
      <c r="M8" s="5">
        <v>188.1</v>
      </c>
      <c r="N8" s="5">
        <v>119.47</v>
      </c>
      <c r="O8" s="5">
        <v>127.92</v>
      </c>
      <c r="P8" s="5">
        <v>183.3</v>
      </c>
      <c r="Q8" s="5">
        <v>176.69</v>
      </c>
      <c r="R8" s="5">
        <v>253.09</v>
      </c>
      <c r="S8" s="5">
        <v>261.02999999999997</v>
      </c>
      <c r="T8" s="5">
        <v>226.63</v>
      </c>
      <c r="U8" s="5">
        <v>175.15</v>
      </c>
      <c r="V8" s="5">
        <v>210.15</v>
      </c>
      <c r="W8" s="5">
        <v>222.23</v>
      </c>
      <c r="X8" s="5">
        <v>-2834.2</v>
      </c>
      <c r="Y8" s="5">
        <v>-7026.06</v>
      </c>
      <c r="Z8" s="5">
        <v>132.58000000000001</v>
      </c>
      <c r="AA8" s="5">
        <v>124.51</v>
      </c>
      <c r="AB8" s="5">
        <v>157.06</v>
      </c>
      <c r="AC8" s="5">
        <v>124.58</v>
      </c>
      <c r="AD8" s="5">
        <v>179.88</v>
      </c>
      <c r="AE8" s="5">
        <v>140.65</v>
      </c>
      <c r="AF8" s="5">
        <v>132.25</v>
      </c>
      <c r="AG8" s="5">
        <v>150.69999999999999</v>
      </c>
      <c r="AH8" s="5">
        <v>143.71</v>
      </c>
      <c r="AI8" s="5">
        <v>150.4</v>
      </c>
      <c r="AJ8" s="5">
        <v>191.66</v>
      </c>
      <c r="AK8" s="5">
        <v>214.68</v>
      </c>
      <c r="AL8" s="5">
        <v>165.12</v>
      </c>
      <c r="AM8" s="5">
        <v>120.91</v>
      </c>
      <c r="AN8" s="5">
        <v>118.6</v>
      </c>
    </row>
    <row r="9" spans="1:40">
      <c r="A9" s="3">
        <v>5</v>
      </c>
      <c r="B9" s="1" t="s">
        <v>49</v>
      </c>
      <c r="C9" s="4" t="s">
        <v>43</v>
      </c>
      <c r="D9" s="4" t="s">
        <v>44</v>
      </c>
      <c r="E9" s="5"/>
      <c r="F9" s="5"/>
      <c r="G9" s="5"/>
      <c r="H9" s="5"/>
      <c r="I9" s="5"/>
      <c r="J9" s="5"/>
      <c r="K9" s="5"/>
      <c r="L9" s="5"/>
      <c r="M9" s="5"/>
      <c r="N9" s="5"/>
      <c r="O9" s="5"/>
      <c r="P9" s="5">
        <v>57228.26</v>
      </c>
      <c r="Q9" s="5"/>
      <c r="R9" s="5"/>
      <c r="S9" s="5"/>
      <c r="T9" s="5"/>
      <c r="U9" s="5"/>
      <c r="V9" s="5"/>
      <c r="W9" s="5"/>
      <c r="X9" s="5"/>
      <c r="Y9" s="5"/>
      <c r="Z9" s="5"/>
      <c r="AA9" s="5"/>
      <c r="AB9" s="5">
        <v>66454.720000000001</v>
      </c>
      <c r="AC9" s="5"/>
      <c r="AD9" s="5"/>
      <c r="AE9" s="5"/>
      <c r="AF9" s="5"/>
      <c r="AG9" s="5"/>
      <c r="AH9" s="5"/>
      <c r="AI9" s="5"/>
      <c r="AJ9" s="5"/>
      <c r="AK9" s="5"/>
      <c r="AL9" s="5"/>
      <c r="AM9" s="5"/>
      <c r="AN9" s="5">
        <v>60504.800000000003</v>
      </c>
    </row>
    <row r="10" spans="1:40">
      <c r="A10" s="3">
        <v>6</v>
      </c>
      <c r="B10" s="1" t="s">
        <v>50</v>
      </c>
      <c r="C10" s="4" t="s">
        <v>47</v>
      </c>
      <c r="D10" s="4" t="s">
        <v>44</v>
      </c>
      <c r="E10" s="5"/>
      <c r="F10" s="5"/>
      <c r="G10" s="5"/>
      <c r="H10" s="5"/>
      <c r="I10" s="5"/>
      <c r="J10" s="5"/>
      <c r="K10" s="5"/>
      <c r="L10" s="5"/>
      <c r="M10" s="5"/>
      <c r="N10" s="5"/>
      <c r="O10" s="5"/>
      <c r="P10" s="5">
        <v>216.14</v>
      </c>
      <c r="Q10" s="5"/>
      <c r="R10" s="5"/>
      <c r="S10" s="5"/>
      <c r="T10" s="5"/>
      <c r="U10" s="5"/>
      <c r="V10" s="5"/>
      <c r="W10" s="5"/>
      <c r="X10" s="5"/>
      <c r="Y10" s="5"/>
      <c r="Z10" s="5"/>
      <c r="AA10" s="5"/>
      <c r="AB10" s="5">
        <v>151.66999999999999</v>
      </c>
      <c r="AC10" s="5"/>
      <c r="AD10" s="5"/>
      <c r="AE10" s="5"/>
      <c r="AF10" s="5"/>
      <c r="AG10" s="5"/>
      <c r="AH10" s="5"/>
      <c r="AI10" s="5"/>
      <c r="AJ10" s="5"/>
      <c r="AK10" s="5"/>
      <c r="AL10" s="5"/>
      <c r="AM10" s="5"/>
      <c r="AN10" s="5">
        <v>192.81</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32"/>
  <sheetViews>
    <sheetView workbookViewId="0">
      <selection activeCell="A2" sqref="A2:AN2"/>
    </sheetView>
  </sheetViews>
  <sheetFormatPr defaultRowHeight="14.5"/>
  <cols>
    <col min="1" max="1" width="4.6328125" customWidth="1"/>
    <col min="2" max="2" width="40.6328125" style="2" customWidth="1"/>
    <col min="3" max="3" width="8.6328125" customWidth="1"/>
    <col min="4" max="4" width="7.6328125" customWidth="1"/>
    <col min="5" max="40" width="11.6328125" customWidth="1"/>
  </cols>
  <sheetData>
    <row r="1" spans="1:40" ht="15.5" customHeight="1">
      <c r="A1" s="15" t="s">
        <v>51</v>
      </c>
      <c r="B1" s="13"/>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row>
    <row r="2" spans="1:40" ht="44" customHeight="1">
      <c r="A2" s="12" t="s">
        <v>1</v>
      </c>
      <c r="B2" s="13"/>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row>
    <row r="4" spans="1:40">
      <c r="A4" s="6" t="s">
        <v>2</v>
      </c>
      <c r="B4" s="6" t="s">
        <v>3</v>
      </c>
      <c r="C4" s="6" t="s">
        <v>4</v>
      </c>
      <c r="D4" s="6" t="s">
        <v>5</v>
      </c>
      <c r="E4" s="6" t="s">
        <v>52</v>
      </c>
      <c r="F4" s="6" t="s">
        <v>53</v>
      </c>
      <c r="G4" s="6" t="s">
        <v>54</v>
      </c>
      <c r="H4" s="6" t="s">
        <v>55</v>
      </c>
      <c r="I4" s="6" t="s">
        <v>56</v>
      </c>
      <c r="J4" s="6" t="s">
        <v>57</v>
      </c>
      <c r="K4" s="6" t="s">
        <v>58</v>
      </c>
      <c r="L4" s="6" t="s">
        <v>59</v>
      </c>
      <c r="M4" s="6" t="s">
        <v>60</v>
      </c>
      <c r="N4" s="6" t="s">
        <v>61</v>
      </c>
      <c r="O4" s="6" t="s">
        <v>62</v>
      </c>
      <c r="P4" s="6" t="s">
        <v>63</v>
      </c>
      <c r="Q4" s="6" t="s">
        <v>64</v>
      </c>
      <c r="R4" s="6" t="s">
        <v>65</v>
      </c>
      <c r="S4" s="6" t="s">
        <v>66</v>
      </c>
      <c r="T4" s="6" t="s">
        <v>67</v>
      </c>
      <c r="U4" s="6" t="s">
        <v>68</v>
      </c>
      <c r="V4" s="6" t="s">
        <v>69</v>
      </c>
      <c r="W4" s="6" t="s">
        <v>70</v>
      </c>
      <c r="X4" s="6" t="s">
        <v>71</v>
      </c>
      <c r="Y4" s="6" t="s">
        <v>72</v>
      </c>
      <c r="Z4" s="6" t="s">
        <v>73</v>
      </c>
      <c r="AA4" s="6" t="s">
        <v>74</v>
      </c>
      <c r="AB4" s="6" t="s">
        <v>75</v>
      </c>
      <c r="AC4" s="6" t="s">
        <v>76</v>
      </c>
      <c r="AD4" s="6" t="s">
        <v>77</v>
      </c>
      <c r="AE4" s="6" t="s">
        <v>78</v>
      </c>
      <c r="AF4" s="6" t="s">
        <v>79</v>
      </c>
      <c r="AG4" s="6" t="s">
        <v>80</v>
      </c>
      <c r="AH4" s="6" t="s">
        <v>81</v>
      </c>
      <c r="AI4" s="6" t="s">
        <v>82</v>
      </c>
      <c r="AJ4" s="6" t="s">
        <v>83</v>
      </c>
      <c r="AK4" s="6" t="s">
        <v>84</v>
      </c>
      <c r="AL4" s="6" t="s">
        <v>85</v>
      </c>
      <c r="AM4" s="6" t="s">
        <v>86</v>
      </c>
      <c r="AN4" s="6" t="s">
        <v>87</v>
      </c>
    </row>
    <row r="5" spans="1:40">
      <c r="A5" s="3">
        <v>1</v>
      </c>
      <c r="B5" s="1" t="s">
        <v>88</v>
      </c>
      <c r="C5" s="4" t="s">
        <v>43</v>
      </c>
      <c r="D5" s="4" t="s">
        <v>89</v>
      </c>
      <c r="E5" s="5">
        <v>524032.65</v>
      </c>
      <c r="F5" s="5">
        <v>523892.05</v>
      </c>
      <c r="G5" s="5">
        <v>527339.77</v>
      </c>
      <c r="H5" s="5">
        <v>528325.71</v>
      </c>
      <c r="I5" s="5">
        <v>532803.88</v>
      </c>
      <c r="J5" s="5">
        <v>533401.03</v>
      </c>
      <c r="K5" s="5">
        <v>537682</v>
      </c>
      <c r="L5" s="5">
        <v>543342.39</v>
      </c>
      <c r="M5" s="5">
        <v>547398.66</v>
      </c>
      <c r="N5" s="5">
        <v>550249.94999999995</v>
      </c>
      <c r="O5" s="5">
        <v>554317.47</v>
      </c>
      <c r="P5" s="5">
        <v>557380.78</v>
      </c>
      <c r="Q5" s="5">
        <v>559696.82999999996</v>
      </c>
      <c r="R5" s="5">
        <v>552104.46</v>
      </c>
      <c r="S5" s="5">
        <v>547668</v>
      </c>
      <c r="T5" s="5">
        <v>545738.76</v>
      </c>
      <c r="U5" s="5">
        <v>543009.41</v>
      </c>
      <c r="V5" s="5">
        <v>540215.64</v>
      </c>
      <c r="W5" s="5">
        <v>542797.88</v>
      </c>
      <c r="X5" s="5">
        <v>546461.81000000006</v>
      </c>
      <c r="Y5" s="5">
        <v>550944.68000000005</v>
      </c>
      <c r="Z5" s="5">
        <v>558851.85</v>
      </c>
      <c r="AA5" s="5">
        <v>569992.64</v>
      </c>
      <c r="AB5" s="5">
        <v>575899.01</v>
      </c>
      <c r="AC5" s="5">
        <v>581892.41</v>
      </c>
      <c r="AD5" s="5">
        <v>579978.93999999994</v>
      </c>
      <c r="AE5" s="5">
        <v>595204.96</v>
      </c>
      <c r="AF5" s="5">
        <v>604967.80000000005</v>
      </c>
      <c r="AG5" s="5">
        <v>614316.81999999995</v>
      </c>
      <c r="AH5" s="5">
        <v>627199.81999999995</v>
      </c>
      <c r="AI5" s="5">
        <v>635751.22</v>
      </c>
      <c r="AJ5" s="5">
        <v>648408.93999999994</v>
      </c>
      <c r="AK5" s="5">
        <v>658365.16</v>
      </c>
      <c r="AL5" s="5">
        <v>667757.51</v>
      </c>
      <c r="AM5" s="5">
        <v>673961.9</v>
      </c>
      <c r="AN5" s="5">
        <v>687921.59</v>
      </c>
    </row>
    <row r="6" spans="1:40">
      <c r="A6" s="3">
        <v>2</v>
      </c>
      <c r="B6" s="1" t="s">
        <v>90</v>
      </c>
      <c r="C6" s="4" t="s">
        <v>43</v>
      </c>
      <c r="D6" s="4" t="s">
        <v>91</v>
      </c>
      <c r="E6" s="5">
        <v>87812.81</v>
      </c>
      <c r="F6" s="5">
        <v>90493.64</v>
      </c>
      <c r="G6" s="5">
        <v>90788.58</v>
      </c>
      <c r="H6" s="5">
        <v>87079.82</v>
      </c>
      <c r="I6" s="5">
        <v>89169.66</v>
      </c>
      <c r="J6" s="5">
        <v>88568.16</v>
      </c>
      <c r="K6" s="5">
        <v>87991.12</v>
      </c>
      <c r="L6" s="5">
        <v>89977.42</v>
      </c>
      <c r="M6" s="5">
        <v>91507.46</v>
      </c>
      <c r="N6" s="5">
        <v>92194.38</v>
      </c>
      <c r="O6" s="5">
        <v>93651.05</v>
      </c>
      <c r="P6" s="5">
        <v>101494.98</v>
      </c>
      <c r="Q6" s="5">
        <v>99700.56</v>
      </c>
      <c r="R6" s="5">
        <v>102063.38</v>
      </c>
      <c r="S6" s="5">
        <v>102904.7</v>
      </c>
      <c r="T6" s="5">
        <v>101432.87</v>
      </c>
      <c r="U6" s="5">
        <v>103984.81</v>
      </c>
      <c r="V6" s="5">
        <v>114656.06</v>
      </c>
      <c r="W6" s="5">
        <v>117161.69</v>
      </c>
      <c r="X6" s="5">
        <v>117403.67</v>
      </c>
      <c r="Y6" s="5">
        <v>118908.33</v>
      </c>
      <c r="Z6" s="5">
        <v>118441.8</v>
      </c>
      <c r="AA6" s="5">
        <v>122485.82</v>
      </c>
      <c r="AB6" s="5">
        <v>121452.68</v>
      </c>
      <c r="AC6" s="5">
        <v>123942.44</v>
      </c>
      <c r="AD6" s="5">
        <v>127799.67999999999</v>
      </c>
      <c r="AE6" s="5">
        <v>126705.44</v>
      </c>
      <c r="AF6" s="5">
        <v>127984.3</v>
      </c>
      <c r="AG6" s="5">
        <v>131512.24</v>
      </c>
      <c r="AH6" s="5">
        <v>127253.52</v>
      </c>
      <c r="AI6" s="5">
        <v>129472.04</v>
      </c>
      <c r="AJ6" s="5">
        <v>129108.23</v>
      </c>
      <c r="AK6" s="5">
        <v>126921.19</v>
      </c>
      <c r="AL6" s="5">
        <v>130417.36</v>
      </c>
      <c r="AM6" s="5">
        <v>132880.09</v>
      </c>
      <c r="AN6" s="5">
        <v>128230.19</v>
      </c>
    </row>
    <row r="7" spans="1:40">
      <c r="A7" s="3">
        <v>3</v>
      </c>
      <c r="B7" s="1" t="s">
        <v>92</v>
      </c>
      <c r="C7" s="4" t="s">
        <v>43</v>
      </c>
      <c r="D7" s="4" t="s">
        <v>91</v>
      </c>
      <c r="E7" s="5">
        <v>43358.76</v>
      </c>
      <c r="F7" s="5">
        <v>43142.09</v>
      </c>
      <c r="G7" s="5">
        <v>43238.17</v>
      </c>
      <c r="H7" s="5">
        <v>42952.87</v>
      </c>
      <c r="I7" s="5">
        <v>42957.7</v>
      </c>
      <c r="J7" s="5">
        <v>43003.06</v>
      </c>
      <c r="K7" s="5">
        <v>43105.919999999998</v>
      </c>
      <c r="L7" s="5">
        <v>43110.03</v>
      </c>
      <c r="M7" s="5">
        <v>41756.69</v>
      </c>
      <c r="N7" s="5">
        <v>41860.83</v>
      </c>
      <c r="O7" s="5">
        <v>41379.120000000003</v>
      </c>
      <c r="P7" s="5">
        <v>48470.31</v>
      </c>
      <c r="Q7" s="5">
        <v>48377.07</v>
      </c>
      <c r="R7" s="5">
        <v>48383.02</v>
      </c>
      <c r="S7" s="5">
        <v>48328.03</v>
      </c>
      <c r="T7" s="5">
        <v>46962.99</v>
      </c>
      <c r="U7" s="5">
        <v>46975.13</v>
      </c>
      <c r="V7" s="5">
        <v>47234.84</v>
      </c>
      <c r="W7" s="5">
        <v>47116.05</v>
      </c>
      <c r="X7" s="5">
        <v>57260.54</v>
      </c>
      <c r="Y7" s="5">
        <v>54828.08</v>
      </c>
      <c r="Z7" s="5">
        <v>54837.56</v>
      </c>
      <c r="AA7" s="5">
        <v>54754.14</v>
      </c>
      <c r="AB7" s="5">
        <v>51765.88</v>
      </c>
      <c r="AC7" s="5">
        <v>51767.75</v>
      </c>
      <c r="AD7" s="5">
        <v>51823.91</v>
      </c>
      <c r="AE7" s="5">
        <v>52061.36</v>
      </c>
      <c r="AF7" s="5">
        <v>51869.42</v>
      </c>
      <c r="AG7" s="5">
        <v>51962.25</v>
      </c>
      <c r="AH7" s="5">
        <v>57198.54</v>
      </c>
      <c r="AI7" s="5">
        <v>67191.240000000005</v>
      </c>
      <c r="AJ7" s="5">
        <v>67266.89</v>
      </c>
      <c r="AK7" s="5">
        <v>67071.58</v>
      </c>
      <c r="AL7" s="5">
        <v>67039.02</v>
      </c>
      <c r="AM7" s="5">
        <v>66912.960000000006</v>
      </c>
      <c r="AN7" s="5">
        <v>54689.35</v>
      </c>
    </row>
    <row r="8" spans="1:40">
      <c r="A8" s="3">
        <v>4</v>
      </c>
      <c r="B8" s="1" t="s">
        <v>93</v>
      </c>
      <c r="C8" s="4" t="s">
        <v>43</v>
      </c>
      <c r="D8" s="4" t="s">
        <v>91</v>
      </c>
      <c r="E8" s="5">
        <v>1494479.97</v>
      </c>
      <c r="F8" s="5">
        <v>1440189.29</v>
      </c>
      <c r="G8" s="5">
        <v>1463339.71</v>
      </c>
      <c r="H8" s="5">
        <v>1464451.28</v>
      </c>
      <c r="I8" s="5">
        <v>1483881.18</v>
      </c>
      <c r="J8" s="5">
        <v>1491752.99</v>
      </c>
      <c r="K8" s="5">
        <v>1497796.44</v>
      </c>
      <c r="L8" s="5">
        <v>1519512.68</v>
      </c>
      <c r="M8" s="5">
        <v>1527353.96</v>
      </c>
      <c r="N8" s="5">
        <v>1527325.86</v>
      </c>
      <c r="O8" s="5">
        <v>1563610.35</v>
      </c>
      <c r="P8" s="5">
        <v>1605117.51</v>
      </c>
      <c r="Q8" s="5">
        <v>1591514.84</v>
      </c>
      <c r="R8" s="5">
        <v>1573624.17</v>
      </c>
      <c r="S8" s="5">
        <v>1604434.05</v>
      </c>
      <c r="T8" s="5">
        <v>1599782.27</v>
      </c>
      <c r="U8" s="5">
        <v>1610342.39</v>
      </c>
      <c r="V8" s="5">
        <v>1637313.4</v>
      </c>
      <c r="W8" s="5">
        <v>1403539.02</v>
      </c>
      <c r="X8" s="5">
        <v>1418518.56</v>
      </c>
      <c r="Y8" s="5">
        <v>1453099.5</v>
      </c>
      <c r="Z8" s="5">
        <v>1473536.61</v>
      </c>
      <c r="AA8" s="5">
        <v>1484503.56</v>
      </c>
      <c r="AB8" s="5">
        <v>1527445.04</v>
      </c>
      <c r="AC8" s="5">
        <v>1546961.07</v>
      </c>
      <c r="AD8" s="5">
        <v>1540666.43</v>
      </c>
      <c r="AE8" s="5">
        <v>1587470.29</v>
      </c>
      <c r="AF8" s="5">
        <v>1609932.2</v>
      </c>
      <c r="AG8" s="5">
        <v>1622070.88</v>
      </c>
      <c r="AH8" s="5">
        <v>1641923.89</v>
      </c>
      <c r="AI8" s="5">
        <v>1663188.93</v>
      </c>
      <c r="AJ8" s="5">
        <v>1683598.04</v>
      </c>
      <c r="AK8" s="5">
        <v>1688863.29</v>
      </c>
      <c r="AL8" s="5">
        <v>1703863.42</v>
      </c>
      <c r="AM8" s="5">
        <v>1762949.9</v>
      </c>
      <c r="AN8" s="5">
        <v>1795775.44</v>
      </c>
    </row>
    <row r="9" spans="1:40">
      <c r="A9" s="3">
        <v>5</v>
      </c>
      <c r="B9" s="1" t="s">
        <v>94</v>
      </c>
      <c r="C9" s="4" t="s">
        <v>43</v>
      </c>
      <c r="D9" s="4" t="s">
        <v>44</v>
      </c>
      <c r="E9" s="5">
        <v>1672058.63</v>
      </c>
      <c r="F9" s="5">
        <v>1645950.93</v>
      </c>
      <c r="G9" s="5">
        <v>1650840.58</v>
      </c>
      <c r="H9" s="5">
        <v>1663367.77</v>
      </c>
      <c r="I9" s="5">
        <v>1682740.5</v>
      </c>
      <c r="J9" s="5">
        <v>1697906.57</v>
      </c>
      <c r="K9" s="5">
        <v>1703921.66</v>
      </c>
      <c r="L9" s="5">
        <v>1713469.37</v>
      </c>
      <c r="M9" s="5">
        <v>1728055.03</v>
      </c>
      <c r="N9" s="5">
        <v>1764425.22</v>
      </c>
      <c r="O9" s="5">
        <v>1772824</v>
      </c>
      <c r="P9" s="5">
        <v>1822363.33</v>
      </c>
      <c r="Q9" s="5">
        <v>1823779.64</v>
      </c>
      <c r="R9" s="5">
        <v>1829079.45</v>
      </c>
      <c r="S9" s="5">
        <v>1837463.39</v>
      </c>
      <c r="T9" s="5">
        <v>1838560.07</v>
      </c>
      <c r="U9" s="5">
        <v>1837805.53</v>
      </c>
      <c r="V9" s="5">
        <v>1853227.53</v>
      </c>
      <c r="W9" s="5">
        <v>1839708.39</v>
      </c>
      <c r="X9" s="5">
        <v>1857043.66</v>
      </c>
      <c r="Y9" s="5">
        <v>1889636.02</v>
      </c>
      <c r="Z9" s="5">
        <v>1883283.06</v>
      </c>
      <c r="AA9" s="5">
        <v>1899685.97</v>
      </c>
      <c r="AB9" s="5">
        <v>1966315.17</v>
      </c>
      <c r="AC9" s="5">
        <v>1968532.02</v>
      </c>
      <c r="AD9" s="5">
        <v>1988961.22</v>
      </c>
      <c r="AE9" s="5">
        <v>2024887.93</v>
      </c>
      <c r="AF9" s="5">
        <v>2023429.42</v>
      </c>
      <c r="AG9" s="5">
        <v>2053174.15</v>
      </c>
      <c r="AH9" s="5">
        <v>2090182.46</v>
      </c>
      <c r="AI9" s="5">
        <v>2061762.79</v>
      </c>
      <c r="AJ9" s="5">
        <v>2114991.04</v>
      </c>
      <c r="AK9" s="5">
        <v>2155183.11</v>
      </c>
      <c r="AL9" s="5">
        <v>2148738.92</v>
      </c>
      <c r="AM9" s="5">
        <v>2168069.4300000002</v>
      </c>
      <c r="AN9" s="5">
        <v>2221748.4300000002</v>
      </c>
    </row>
    <row r="10" spans="1:40">
      <c r="A10" s="3">
        <v>6</v>
      </c>
      <c r="B10" s="1" t="s">
        <v>95</v>
      </c>
      <c r="C10" s="4" t="s">
        <v>43</v>
      </c>
      <c r="D10" s="4" t="s">
        <v>44</v>
      </c>
      <c r="E10" s="5">
        <v>96763.37</v>
      </c>
      <c r="F10" s="5">
        <v>130287.78</v>
      </c>
      <c r="G10" s="5">
        <v>123062.32</v>
      </c>
      <c r="H10" s="5">
        <v>120266.76</v>
      </c>
      <c r="I10" s="5">
        <v>120271.39</v>
      </c>
      <c r="J10" s="5">
        <v>120122.84</v>
      </c>
      <c r="K10" s="5">
        <v>119411.33</v>
      </c>
      <c r="L10" s="5">
        <v>118730.8</v>
      </c>
      <c r="M10" s="5">
        <v>118601.4</v>
      </c>
      <c r="N10" s="5">
        <v>84391.81</v>
      </c>
      <c r="O10" s="5">
        <v>116744.31</v>
      </c>
      <c r="P10" s="5">
        <v>136282.76</v>
      </c>
      <c r="Q10" s="5">
        <v>133347.87</v>
      </c>
      <c r="R10" s="5">
        <v>131242.65</v>
      </c>
      <c r="S10" s="5">
        <v>122395.4</v>
      </c>
      <c r="T10" s="5">
        <v>120485.79</v>
      </c>
      <c r="U10" s="5">
        <v>120485.75</v>
      </c>
      <c r="V10" s="5">
        <v>129579.29</v>
      </c>
      <c r="W10" s="5">
        <v>129334.05</v>
      </c>
      <c r="X10" s="5">
        <v>139039.72</v>
      </c>
      <c r="Y10" s="5">
        <v>134544.29</v>
      </c>
      <c r="Z10" s="5">
        <v>133844.91</v>
      </c>
      <c r="AA10" s="5">
        <v>133382.76999999999</v>
      </c>
      <c r="AB10" s="5">
        <v>155691.06</v>
      </c>
      <c r="AC10" s="5">
        <v>155659.22</v>
      </c>
      <c r="AD10" s="5">
        <v>151351.20000000001</v>
      </c>
      <c r="AE10" s="5">
        <v>141906.17000000001</v>
      </c>
      <c r="AF10" s="5">
        <v>147946.22</v>
      </c>
      <c r="AG10" s="5">
        <v>149162.46</v>
      </c>
      <c r="AH10" s="5">
        <v>151994.57999999999</v>
      </c>
      <c r="AI10" s="5">
        <v>172337.46</v>
      </c>
      <c r="AJ10" s="5">
        <v>165766.79999999999</v>
      </c>
      <c r="AK10" s="5">
        <v>167847.1</v>
      </c>
      <c r="AL10" s="5">
        <v>165745.63</v>
      </c>
      <c r="AM10" s="5">
        <v>163321.76</v>
      </c>
      <c r="AN10" s="5">
        <v>178391.65</v>
      </c>
    </row>
    <row r="11" spans="1:40" ht="29" customHeight="1">
      <c r="A11" s="3">
        <v>7</v>
      </c>
      <c r="B11" s="1" t="s">
        <v>96</v>
      </c>
      <c r="C11" s="4" t="s">
        <v>43</v>
      </c>
      <c r="D11" s="4" t="s">
        <v>97</v>
      </c>
      <c r="E11" s="5">
        <v>109939.56</v>
      </c>
      <c r="F11" s="5">
        <v>112772.77</v>
      </c>
      <c r="G11" s="5">
        <v>203643.22</v>
      </c>
      <c r="H11" s="5">
        <v>203643.22</v>
      </c>
      <c r="I11" s="5">
        <v>149956.44</v>
      </c>
      <c r="J11" s="5">
        <v>142384.99</v>
      </c>
      <c r="K11" s="5">
        <v>143162.78</v>
      </c>
      <c r="L11" s="5">
        <v>146924.43</v>
      </c>
      <c r="M11" s="5">
        <v>146924.43</v>
      </c>
      <c r="N11" s="5">
        <v>152110.59</v>
      </c>
      <c r="O11" s="5">
        <v>155009.85999999999</v>
      </c>
      <c r="P11" s="5">
        <v>164595.98000000001</v>
      </c>
      <c r="Q11" s="5">
        <v>171145.62</v>
      </c>
      <c r="R11" s="5">
        <v>172994.43</v>
      </c>
      <c r="S11" s="5">
        <v>172467.20000000001</v>
      </c>
      <c r="T11" s="5">
        <v>172667.73</v>
      </c>
      <c r="U11" s="5">
        <v>172684.72</v>
      </c>
      <c r="V11" s="5">
        <v>171437.73</v>
      </c>
      <c r="W11" s="5">
        <v>170696.97</v>
      </c>
      <c r="X11" s="5">
        <v>170950.67</v>
      </c>
      <c r="Y11" s="5">
        <v>173780.31</v>
      </c>
      <c r="Z11" s="5">
        <v>174108.18</v>
      </c>
      <c r="AA11" s="5">
        <v>174314.34</v>
      </c>
      <c r="AB11" s="5">
        <v>177304.67</v>
      </c>
      <c r="AC11" s="5">
        <v>175644.95</v>
      </c>
      <c r="AD11" s="5">
        <v>175860.7</v>
      </c>
      <c r="AE11" s="5">
        <v>175990.33</v>
      </c>
      <c r="AF11" s="5">
        <v>176091.45</v>
      </c>
      <c r="AG11" s="5">
        <v>176351.07</v>
      </c>
      <c r="AH11" s="5">
        <v>173568.51</v>
      </c>
      <c r="AI11" s="5">
        <v>173635.83</v>
      </c>
      <c r="AJ11" s="5">
        <v>175814.27</v>
      </c>
      <c r="AK11" s="5">
        <v>177299.52</v>
      </c>
      <c r="AL11" s="5">
        <v>175645.06</v>
      </c>
      <c r="AM11" s="5">
        <v>176918.85</v>
      </c>
      <c r="AN11" s="5">
        <v>195898.42</v>
      </c>
    </row>
    <row r="12" spans="1:40">
      <c r="A12" s="3">
        <v>8</v>
      </c>
      <c r="B12" s="1" t="s">
        <v>98</v>
      </c>
      <c r="C12" s="4" t="s">
        <v>43</v>
      </c>
      <c r="D12" s="4" t="s">
        <v>97</v>
      </c>
      <c r="E12" s="5">
        <v>11000.04</v>
      </c>
      <c r="F12" s="5">
        <v>11000.04</v>
      </c>
      <c r="G12" s="5">
        <v>11485.07</v>
      </c>
      <c r="H12" s="5">
        <v>11485.07</v>
      </c>
      <c r="I12" s="5">
        <v>11485.07</v>
      </c>
      <c r="J12" s="5">
        <v>11144.5</v>
      </c>
      <c r="K12" s="5">
        <v>11144.5</v>
      </c>
      <c r="L12" s="5">
        <v>11144.5</v>
      </c>
      <c r="M12" s="5">
        <v>11286.77</v>
      </c>
      <c r="N12" s="5">
        <v>11286.77</v>
      </c>
      <c r="O12" s="5">
        <v>11286.77</v>
      </c>
      <c r="P12" s="5">
        <v>11900.84</v>
      </c>
      <c r="Q12" s="5">
        <v>11652.89</v>
      </c>
      <c r="R12" s="5">
        <v>11652.89</v>
      </c>
      <c r="S12" s="5">
        <v>11718.87</v>
      </c>
      <c r="T12" s="5">
        <v>11718.87</v>
      </c>
      <c r="U12" s="5">
        <v>11718.87</v>
      </c>
      <c r="V12" s="5">
        <v>11916.84</v>
      </c>
      <c r="W12" s="5">
        <v>11899.34</v>
      </c>
      <c r="X12" s="5">
        <v>11899.34</v>
      </c>
      <c r="Y12" s="5">
        <v>12492.71</v>
      </c>
      <c r="Z12" s="5">
        <v>12492.71</v>
      </c>
      <c r="AA12" s="5">
        <v>12492.71</v>
      </c>
      <c r="AB12" s="5">
        <v>13058.31</v>
      </c>
      <c r="AC12" s="5">
        <v>13062.27</v>
      </c>
      <c r="AD12" s="5">
        <v>13062.27</v>
      </c>
      <c r="AE12" s="5">
        <v>13223.1</v>
      </c>
      <c r="AF12" s="5">
        <v>13223.1</v>
      </c>
      <c r="AG12" s="5">
        <v>13223.1</v>
      </c>
      <c r="AH12" s="5">
        <v>13493.01</v>
      </c>
      <c r="AI12" s="5">
        <v>13496.69</v>
      </c>
      <c r="AJ12" s="5">
        <v>13496.69</v>
      </c>
      <c r="AK12" s="5">
        <v>13462.45</v>
      </c>
      <c r="AL12" s="5">
        <v>13462.45</v>
      </c>
      <c r="AM12" s="5">
        <v>13462.45</v>
      </c>
      <c r="AN12" s="5">
        <v>14017.81</v>
      </c>
    </row>
    <row r="13" spans="1:40">
      <c r="A13" s="3">
        <v>9</v>
      </c>
      <c r="B13" s="1" t="s">
        <v>99</v>
      </c>
      <c r="C13" s="4" t="s">
        <v>43</v>
      </c>
      <c r="D13" s="4" t="s">
        <v>97</v>
      </c>
      <c r="E13" s="5">
        <v>40.229999999999997</v>
      </c>
      <c r="F13" s="5">
        <v>162.87</v>
      </c>
      <c r="G13" s="5">
        <v>176.45</v>
      </c>
      <c r="H13" s="5">
        <v>111.97</v>
      </c>
      <c r="I13" s="5">
        <v>239.47</v>
      </c>
      <c r="J13" s="5">
        <v>190.53</v>
      </c>
      <c r="K13" s="5">
        <v>188.14</v>
      </c>
      <c r="L13" s="5">
        <v>263.77999999999997</v>
      </c>
      <c r="M13" s="5">
        <v>308.06</v>
      </c>
      <c r="N13" s="5">
        <v>0.25</v>
      </c>
      <c r="O13" s="5">
        <v>0.1</v>
      </c>
      <c r="P13" s="5">
        <v>7.0000000000000007E-2</v>
      </c>
      <c r="Q13" s="5">
        <v>0.05</v>
      </c>
      <c r="R13" s="5">
        <v>0.05</v>
      </c>
      <c r="S13" s="5">
        <v>0.03</v>
      </c>
      <c r="T13" s="5">
        <v>7.0000000000000007E-2</v>
      </c>
      <c r="U13" s="5">
        <v>0.01</v>
      </c>
      <c r="V13" s="5">
        <v>0.06</v>
      </c>
      <c r="W13" s="5">
        <v>0.06</v>
      </c>
      <c r="X13" s="5">
        <v>0</v>
      </c>
      <c r="Y13" s="5">
        <v>0</v>
      </c>
      <c r="Z13" s="5">
        <v>0</v>
      </c>
      <c r="AA13" s="5">
        <v>0</v>
      </c>
      <c r="AB13" s="5">
        <v>0</v>
      </c>
      <c r="AC13" s="5">
        <v>0.06</v>
      </c>
      <c r="AD13" s="5">
        <v>0.02</v>
      </c>
      <c r="AE13" s="5">
        <v>0.06</v>
      </c>
      <c r="AF13" s="5">
        <v>0.1</v>
      </c>
      <c r="AG13" s="5">
        <v>7.0000000000000007E-2</v>
      </c>
      <c r="AH13" s="5">
        <v>0.04</v>
      </c>
      <c r="AI13" s="5">
        <v>0.04</v>
      </c>
      <c r="AJ13" s="5">
        <v>0.04</v>
      </c>
      <c r="AK13" s="5">
        <v>0.02</v>
      </c>
      <c r="AL13" s="5">
        <v>0</v>
      </c>
      <c r="AM13" s="5">
        <v>0</v>
      </c>
      <c r="AN13" s="5">
        <v>0</v>
      </c>
    </row>
    <row r="14" spans="1:40">
      <c r="A14" s="3">
        <v>10</v>
      </c>
      <c r="B14" s="1" t="s">
        <v>100</v>
      </c>
      <c r="C14" s="4" t="s">
        <v>47</v>
      </c>
      <c r="D14" s="4" t="s">
        <v>91</v>
      </c>
      <c r="E14" s="5">
        <v>8.65</v>
      </c>
      <c r="F14" s="5">
        <v>9.14</v>
      </c>
      <c r="G14" s="5">
        <v>9.0299999999999994</v>
      </c>
      <c r="H14" s="5">
        <v>8.75</v>
      </c>
      <c r="I14" s="5">
        <v>8.77</v>
      </c>
      <c r="J14" s="5">
        <v>8.69</v>
      </c>
      <c r="K14" s="5">
        <v>8.6199999999999992</v>
      </c>
      <c r="L14" s="5">
        <v>8.6300000000000008</v>
      </c>
      <c r="M14" s="5">
        <v>8.6</v>
      </c>
      <c r="N14" s="5">
        <v>8.65</v>
      </c>
      <c r="O14" s="5">
        <v>8.51</v>
      </c>
      <c r="P14" s="5">
        <v>9.2200000000000006</v>
      </c>
      <c r="Q14" s="5">
        <v>9.18</v>
      </c>
      <c r="R14" s="5">
        <v>9.44</v>
      </c>
      <c r="S14" s="5">
        <v>9.31</v>
      </c>
      <c r="T14" s="5">
        <v>9.15</v>
      </c>
      <c r="U14" s="5">
        <v>9.25</v>
      </c>
      <c r="V14" s="5">
        <v>9.77</v>
      </c>
      <c r="W14" s="5">
        <v>11.57</v>
      </c>
      <c r="X14" s="5">
        <v>12.18</v>
      </c>
      <c r="Y14" s="5">
        <v>11.82</v>
      </c>
      <c r="Z14" s="5">
        <v>11.63</v>
      </c>
      <c r="AA14" s="5">
        <v>11.81</v>
      </c>
      <c r="AB14" s="5">
        <v>11.21</v>
      </c>
      <c r="AC14" s="5">
        <v>11.23</v>
      </c>
      <c r="AD14" s="5">
        <v>11.53</v>
      </c>
      <c r="AE14" s="5">
        <v>11.14</v>
      </c>
      <c r="AF14" s="5">
        <v>11.05</v>
      </c>
      <c r="AG14" s="5">
        <v>11.19</v>
      </c>
      <c r="AH14" s="5">
        <v>11.12</v>
      </c>
      <c r="AI14" s="5">
        <v>11.71</v>
      </c>
      <c r="AJ14" s="5">
        <v>11.55</v>
      </c>
      <c r="AK14" s="5">
        <v>11.37</v>
      </c>
      <c r="AL14" s="5">
        <v>11.47</v>
      </c>
      <c r="AM14" s="5">
        <v>11.22</v>
      </c>
      <c r="AN14" s="5">
        <v>10.08</v>
      </c>
    </row>
    <row r="15" spans="1:40">
      <c r="A15" s="3">
        <v>11</v>
      </c>
      <c r="B15" s="1" t="s">
        <v>101</v>
      </c>
      <c r="C15" s="4" t="s">
        <v>47</v>
      </c>
      <c r="D15" s="4" t="s">
        <v>91</v>
      </c>
      <c r="E15" s="5">
        <v>5.88</v>
      </c>
      <c r="F15" s="5">
        <v>6.28</v>
      </c>
      <c r="G15" s="5">
        <v>6.2</v>
      </c>
      <c r="H15" s="5">
        <v>5.95</v>
      </c>
      <c r="I15" s="5">
        <v>6.01</v>
      </c>
      <c r="J15" s="5">
        <v>5.94</v>
      </c>
      <c r="K15" s="5">
        <v>5.87</v>
      </c>
      <c r="L15" s="5">
        <v>5.92</v>
      </c>
      <c r="M15" s="5">
        <v>5.99</v>
      </c>
      <c r="N15" s="5">
        <v>6.04</v>
      </c>
      <c r="O15" s="5">
        <v>5.99</v>
      </c>
      <c r="P15" s="5">
        <v>6.32</v>
      </c>
      <c r="Q15" s="5">
        <v>6.26</v>
      </c>
      <c r="R15" s="5">
        <v>6.49</v>
      </c>
      <c r="S15" s="5">
        <v>6.41</v>
      </c>
      <c r="T15" s="5">
        <v>6.34</v>
      </c>
      <c r="U15" s="5">
        <v>6.46</v>
      </c>
      <c r="V15" s="5">
        <v>7</v>
      </c>
      <c r="W15" s="5">
        <v>8.35</v>
      </c>
      <c r="X15" s="5">
        <v>8.2799999999999994</v>
      </c>
      <c r="Y15" s="5">
        <v>8.18</v>
      </c>
      <c r="Z15" s="5">
        <v>8.0399999999999991</v>
      </c>
      <c r="AA15" s="5">
        <v>8.25</v>
      </c>
      <c r="AB15" s="5">
        <v>7.95</v>
      </c>
      <c r="AC15" s="5">
        <v>8.01</v>
      </c>
      <c r="AD15" s="5">
        <v>8.3000000000000007</v>
      </c>
      <c r="AE15" s="5">
        <v>7.98</v>
      </c>
      <c r="AF15" s="5">
        <v>7.95</v>
      </c>
      <c r="AG15" s="5">
        <v>8.11</v>
      </c>
      <c r="AH15" s="5">
        <v>7.75</v>
      </c>
      <c r="AI15" s="5">
        <v>7.78</v>
      </c>
      <c r="AJ15" s="5">
        <v>7.67</v>
      </c>
      <c r="AK15" s="5">
        <v>7.52</v>
      </c>
      <c r="AL15" s="5">
        <v>7.65</v>
      </c>
      <c r="AM15" s="5">
        <v>7.54</v>
      </c>
      <c r="AN15" s="5">
        <v>7.14</v>
      </c>
    </row>
    <row r="16" spans="1:40" ht="29" customHeight="1">
      <c r="A16" s="3">
        <v>12</v>
      </c>
      <c r="B16" s="1" t="s">
        <v>102</v>
      </c>
      <c r="C16" s="4" t="s">
        <v>47</v>
      </c>
      <c r="D16" s="4" t="s">
        <v>97</v>
      </c>
      <c r="E16" s="5">
        <v>6</v>
      </c>
      <c r="F16" s="5">
        <v>6</v>
      </c>
      <c r="G16" s="5">
        <v>11.66</v>
      </c>
      <c r="H16" s="5">
        <v>11.7</v>
      </c>
      <c r="I16" s="5">
        <v>8.5</v>
      </c>
      <c r="J16" s="5">
        <v>7.94</v>
      </c>
      <c r="K16" s="5">
        <v>7.96</v>
      </c>
      <c r="L16" s="5">
        <v>8.16</v>
      </c>
      <c r="M16" s="5">
        <v>8.16</v>
      </c>
      <c r="N16" s="5">
        <v>8.4</v>
      </c>
      <c r="O16" s="5">
        <v>8.51</v>
      </c>
      <c r="P16" s="5">
        <v>8.8000000000000007</v>
      </c>
      <c r="Q16" s="5">
        <v>9.02</v>
      </c>
      <c r="R16" s="5">
        <v>8.98</v>
      </c>
      <c r="S16" s="5">
        <v>8.89</v>
      </c>
      <c r="T16" s="5">
        <v>8.8699999999999992</v>
      </c>
      <c r="U16" s="5">
        <v>8.9</v>
      </c>
      <c r="V16" s="5">
        <v>8.76</v>
      </c>
      <c r="W16" s="5">
        <v>8.75</v>
      </c>
      <c r="X16" s="5">
        <v>8.75</v>
      </c>
      <c r="Y16" s="5">
        <v>8.7799999999999994</v>
      </c>
      <c r="Z16" s="5">
        <v>8.7200000000000006</v>
      </c>
      <c r="AA16" s="5">
        <v>8.61</v>
      </c>
      <c r="AB16" s="5">
        <v>8.68</v>
      </c>
      <c r="AC16" s="5">
        <v>8.4</v>
      </c>
      <c r="AD16" s="5">
        <v>8.39</v>
      </c>
      <c r="AE16" s="5">
        <v>8.4</v>
      </c>
      <c r="AF16" s="5">
        <v>8.34</v>
      </c>
      <c r="AG16" s="5">
        <v>8.11</v>
      </c>
      <c r="AH16" s="5">
        <v>7.91</v>
      </c>
      <c r="AI16" s="5">
        <v>7.81</v>
      </c>
      <c r="AJ16" s="5">
        <v>7.86</v>
      </c>
      <c r="AK16" s="5">
        <v>7.92</v>
      </c>
      <c r="AL16" s="5">
        <v>7.6</v>
      </c>
      <c r="AM16" s="5">
        <v>7.54</v>
      </c>
      <c r="AN16" s="5">
        <v>8.15</v>
      </c>
    </row>
    <row r="17" spans="1:40">
      <c r="A17" s="3">
        <v>13</v>
      </c>
      <c r="B17" s="1" t="s">
        <v>103</v>
      </c>
      <c r="C17" s="4" t="s">
        <v>47</v>
      </c>
      <c r="D17" s="4" t="s">
        <v>44</v>
      </c>
      <c r="E17" s="5">
        <v>83.19</v>
      </c>
      <c r="F17" s="5">
        <v>83.29</v>
      </c>
      <c r="G17" s="5">
        <v>82.84</v>
      </c>
      <c r="H17" s="5">
        <v>83.14</v>
      </c>
      <c r="I17" s="5">
        <v>82.71</v>
      </c>
      <c r="J17" s="5">
        <v>83</v>
      </c>
      <c r="K17" s="5">
        <v>82.68</v>
      </c>
      <c r="L17" s="5">
        <v>83.43</v>
      </c>
      <c r="M17" s="5">
        <v>83.74</v>
      </c>
      <c r="N17" s="5">
        <v>82.65</v>
      </c>
      <c r="O17" s="5">
        <v>82.97</v>
      </c>
      <c r="P17" s="5">
        <v>82.38</v>
      </c>
      <c r="Q17" s="5">
        <v>81.48</v>
      </c>
      <c r="R17" s="5">
        <v>80.650000000000006</v>
      </c>
      <c r="S17" s="5">
        <v>81.290000000000006</v>
      </c>
      <c r="T17" s="5">
        <v>82</v>
      </c>
      <c r="U17" s="5">
        <v>82.85</v>
      </c>
      <c r="V17" s="5">
        <v>82.86</v>
      </c>
      <c r="W17" s="5">
        <v>84.01</v>
      </c>
      <c r="X17" s="5">
        <v>83.45</v>
      </c>
      <c r="Y17" s="5">
        <v>83.79</v>
      </c>
      <c r="Z17" s="5">
        <v>84.38</v>
      </c>
      <c r="AA17" s="5">
        <v>84.16</v>
      </c>
      <c r="AB17" s="5">
        <v>83.45</v>
      </c>
      <c r="AC17" s="5">
        <v>83.43</v>
      </c>
      <c r="AD17" s="5">
        <v>83.77</v>
      </c>
      <c r="AE17" s="5">
        <v>83.93</v>
      </c>
      <c r="AF17" s="5">
        <v>83.36</v>
      </c>
      <c r="AG17" s="5">
        <v>83.73</v>
      </c>
      <c r="AH17" s="5">
        <v>83.64</v>
      </c>
      <c r="AI17" s="5">
        <v>83.87</v>
      </c>
      <c r="AJ17" s="5">
        <v>83.07</v>
      </c>
      <c r="AK17" s="5">
        <v>84.13</v>
      </c>
      <c r="AL17" s="5">
        <v>84.26</v>
      </c>
      <c r="AM17" s="5">
        <v>83.79</v>
      </c>
      <c r="AN17" s="5">
        <v>82.38</v>
      </c>
    </row>
    <row r="18" spans="1:40">
      <c r="A18" s="3">
        <v>14</v>
      </c>
      <c r="B18" s="1" t="s">
        <v>104</v>
      </c>
      <c r="C18" s="4" t="s">
        <v>47</v>
      </c>
      <c r="D18" s="4" t="s">
        <v>89</v>
      </c>
      <c r="E18" s="5"/>
      <c r="F18" s="5"/>
      <c r="G18" s="5">
        <v>2.2000000000000002</v>
      </c>
      <c r="H18" s="5"/>
      <c r="I18" s="5"/>
      <c r="J18" s="5">
        <v>2.09</v>
      </c>
      <c r="K18" s="5"/>
      <c r="L18" s="5"/>
      <c r="M18" s="5">
        <v>1.95</v>
      </c>
      <c r="N18" s="5"/>
      <c r="O18" s="5"/>
      <c r="P18" s="5">
        <v>1.9</v>
      </c>
      <c r="Q18" s="5"/>
      <c r="R18" s="5"/>
      <c r="S18" s="5">
        <v>2.09</v>
      </c>
      <c r="T18" s="5"/>
      <c r="U18" s="5"/>
      <c r="V18" s="5">
        <v>1.84</v>
      </c>
      <c r="W18" s="5"/>
      <c r="X18" s="5"/>
      <c r="Y18" s="5">
        <v>2.08</v>
      </c>
      <c r="Z18" s="5"/>
      <c r="AA18" s="5"/>
      <c r="AB18" s="5">
        <v>1.69</v>
      </c>
      <c r="AC18" s="5"/>
      <c r="AD18" s="5"/>
      <c r="AE18" s="5">
        <v>1.55</v>
      </c>
      <c r="AF18" s="5"/>
      <c r="AG18" s="5"/>
      <c r="AH18" s="5">
        <v>1.44</v>
      </c>
      <c r="AI18" s="5"/>
      <c r="AJ18" s="5"/>
      <c r="AK18" s="5">
        <v>1.0900000000000001</v>
      </c>
      <c r="AL18" s="5"/>
      <c r="AM18" s="5"/>
      <c r="AN18" s="5">
        <v>1.3</v>
      </c>
    </row>
    <row r="19" spans="1:40">
      <c r="A19" s="3">
        <v>15</v>
      </c>
      <c r="B19" s="1" t="s">
        <v>105</v>
      </c>
      <c r="C19" s="4" t="s">
        <v>47</v>
      </c>
      <c r="D19" s="4" t="s">
        <v>89</v>
      </c>
      <c r="E19" s="5"/>
      <c r="F19" s="5"/>
      <c r="G19" s="5">
        <v>2.9</v>
      </c>
      <c r="H19" s="5"/>
      <c r="I19" s="5"/>
      <c r="J19" s="5">
        <v>2.84</v>
      </c>
      <c r="K19" s="5"/>
      <c r="L19" s="5"/>
      <c r="M19" s="5">
        <v>2.2599999999999998</v>
      </c>
      <c r="N19" s="5"/>
      <c r="O19" s="5"/>
      <c r="P19" s="5">
        <v>2.08</v>
      </c>
      <c r="Q19" s="5"/>
      <c r="R19" s="5"/>
      <c r="S19" s="5">
        <v>2.5299999999999998</v>
      </c>
      <c r="T19" s="5"/>
      <c r="U19" s="5"/>
      <c r="V19" s="5">
        <v>2.54</v>
      </c>
      <c r="W19" s="5"/>
      <c r="X19" s="5"/>
      <c r="Y19" s="5">
        <v>1.9</v>
      </c>
      <c r="Z19" s="5"/>
      <c r="AA19" s="5"/>
      <c r="AB19" s="5">
        <v>1.7</v>
      </c>
      <c r="AC19" s="5"/>
      <c r="AD19" s="5"/>
      <c r="AE19" s="5">
        <v>1.32</v>
      </c>
      <c r="AF19" s="5"/>
      <c r="AG19" s="5"/>
      <c r="AH19" s="5">
        <v>1.58</v>
      </c>
      <c r="AI19" s="5"/>
      <c r="AJ19" s="5"/>
      <c r="AK19" s="5">
        <v>1.08</v>
      </c>
      <c r="AL19" s="5"/>
      <c r="AM19" s="5"/>
      <c r="AN19" s="5">
        <v>1.08</v>
      </c>
    </row>
    <row r="20" spans="1:40" ht="29" customHeight="1">
      <c r="A20" s="3">
        <v>16</v>
      </c>
      <c r="B20" s="1" t="s">
        <v>106</v>
      </c>
      <c r="C20" s="4" t="s">
        <v>47</v>
      </c>
      <c r="D20" s="4" t="s">
        <v>44</v>
      </c>
      <c r="E20" s="5">
        <v>25.55</v>
      </c>
      <c r="F20" s="5">
        <v>23.91</v>
      </c>
      <c r="G20" s="5">
        <v>24.48</v>
      </c>
      <c r="H20" s="5">
        <v>24.53</v>
      </c>
      <c r="I20" s="5">
        <v>24.51</v>
      </c>
      <c r="J20" s="5">
        <v>24.34</v>
      </c>
      <c r="K20" s="5">
        <v>24.54</v>
      </c>
      <c r="L20" s="5">
        <v>24.78</v>
      </c>
      <c r="M20" s="5">
        <v>24.81</v>
      </c>
      <c r="N20" s="5">
        <v>26.4</v>
      </c>
      <c r="O20" s="5">
        <v>24.68</v>
      </c>
      <c r="P20" s="5">
        <v>23.1</v>
      </c>
      <c r="Q20" s="5">
        <v>23.37</v>
      </c>
      <c r="R20" s="5">
        <v>23</v>
      </c>
      <c r="S20" s="5">
        <v>23.14</v>
      </c>
      <c r="T20" s="5">
        <v>23.12</v>
      </c>
      <c r="U20" s="5">
        <v>22.99</v>
      </c>
      <c r="V20" s="5">
        <v>22.15</v>
      </c>
      <c r="W20" s="5">
        <v>22.47</v>
      </c>
      <c r="X20" s="5">
        <v>21.93</v>
      </c>
      <c r="Y20" s="5">
        <v>22.03</v>
      </c>
      <c r="Z20" s="5">
        <v>22.56</v>
      </c>
      <c r="AA20" s="5">
        <v>22.98</v>
      </c>
      <c r="AB20" s="5">
        <v>21.37</v>
      </c>
      <c r="AC20" s="5">
        <v>21.65</v>
      </c>
      <c r="AD20" s="5">
        <v>21.55</v>
      </c>
      <c r="AE20" s="5">
        <v>22.38</v>
      </c>
      <c r="AF20" s="5">
        <v>22.58</v>
      </c>
      <c r="AG20" s="5">
        <v>22.65</v>
      </c>
      <c r="AH20" s="5">
        <v>22.73</v>
      </c>
      <c r="AI20" s="5">
        <v>22.47</v>
      </c>
      <c r="AJ20" s="5">
        <v>22.82</v>
      </c>
      <c r="AK20" s="5">
        <v>22.75</v>
      </c>
      <c r="AL20" s="5">
        <v>23.36</v>
      </c>
      <c r="AM20" s="5">
        <v>23.55</v>
      </c>
      <c r="AN20" s="5">
        <v>22.93</v>
      </c>
    </row>
    <row r="21" spans="1:40">
      <c r="A21" s="3">
        <v>17</v>
      </c>
      <c r="B21" s="1" t="s">
        <v>107</v>
      </c>
      <c r="C21" s="4" t="s">
        <v>47</v>
      </c>
      <c r="D21" s="4" t="s">
        <v>89</v>
      </c>
      <c r="E21" s="5"/>
      <c r="F21" s="5"/>
      <c r="G21" s="5">
        <v>76.650000000000006</v>
      </c>
      <c r="H21" s="5"/>
      <c r="I21" s="5"/>
      <c r="J21" s="5">
        <v>76.900000000000006</v>
      </c>
      <c r="K21" s="5"/>
      <c r="L21" s="5"/>
      <c r="M21" s="5">
        <v>77.239999999999995</v>
      </c>
      <c r="N21" s="5"/>
      <c r="O21" s="5"/>
      <c r="P21" s="5">
        <v>75.89</v>
      </c>
      <c r="Q21" s="5"/>
      <c r="R21" s="5"/>
      <c r="S21" s="5">
        <v>75.260000000000005</v>
      </c>
      <c r="T21" s="5"/>
      <c r="U21" s="5"/>
      <c r="V21" s="5">
        <v>76.510000000000005</v>
      </c>
      <c r="W21" s="5"/>
      <c r="X21" s="5"/>
      <c r="Y21" s="5">
        <v>77.180000000000007</v>
      </c>
      <c r="Z21" s="5"/>
      <c r="AA21" s="5"/>
      <c r="AB21" s="5">
        <v>77.12</v>
      </c>
      <c r="AC21" s="5"/>
      <c r="AD21" s="5"/>
      <c r="AE21" s="5">
        <v>73.14</v>
      </c>
      <c r="AF21" s="5"/>
      <c r="AG21" s="5"/>
      <c r="AH21" s="5">
        <v>77.55</v>
      </c>
      <c r="AI21" s="5"/>
      <c r="AJ21" s="5"/>
      <c r="AK21" s="5">
        <v>72.290000000000006</v>
      </c>
      <c r="AL21" s="5"/>
      <c r="AM21" s="5"/>
      <c r="AN21" s="5">
        <v>73.56</v>
      </c>
    </row>
    <row r="22" spans="1:40">
      <c r="A22" s="3">
        <v>18</v>
      </c>
      <c r="B22" s="1" t="s">
        <v>108</v>
      </c>
      <c r="C22" s="4" t="s">
        <v>43</v>
      </c>
      <c r="D22" s="4" t="s">
        <v>91</v>
      </c>
      <c r="E22" s="5">
        <v>129233.31</v>
      </c>
      <c r="F22" s="5">
        <v>131697.47</v>
      </c>
      <c r="G22" s="5">
        <v>132088.49</v>
      </c>
      <c r="H22" s="5">
        <v>128094.43</v>
      </c>
      <c r="I22" s="5">
        <v>130189.11</v>
      </c>
      <c r="J22" s="5">
        <v>129632.97</v>
      </c>
      <c r="K22" s="5">
        <v>129158.79</v>
      </c>
      <c r="L22" s="5">
        <v>131149.18</v>
      </c>
      <c r="M22" s="5">
        <v>131325.9</v>
      </c>
      <c r="N22" s="5">
        <v>132116.95000000001</v>
      </c>
      <c r="O22" s="5">
        <v>133091.92000000001</v>
      </c>
      <c r="P22" s="5">
        <v>148027.01999999999</v>
      </c>
      <c r="Q22" s="5">
        <v>146139.37</v>
      </c>
      <c r="R22" s="5">
        <v>148508.14000000001</v>
      </c>
      <c r="S22" s="5">
        <v>149294.48000000001</v>
      </c>
      <c r="T22" s="5">
        <v>146457.60999999999</v>
      </c>
      <c r="U22" s="5">
        <v>149021.67000000001</v>
      </c>
      <c r="V22" s="5">
        <v>159952.64000000001</v>
      </c>
      <c r="W22" s="5">
        <v>162339.49</v>
      </c>
      <c r="X22" s="5">
        <v>172725.95</v>
      </c>
      <c r="Y22" s="5">
        <v>171798.16</v>
      </c>
      <c r="Z22" s="5">
        <v>171341.1</v>
      </c>
      <c r="AA22" s="5">
        <v>175301.7</v>
      </c>
      <c r="AB22" s="5">
        <v>171280.31</v>
      </c>
      <c r="AC22" s="5">
        <v>173771.93</v>
      </c>
      <c r="AD22" s="5">
        <v>177685.34</v>
      </c>
      <c r="AE22" s="5">
        <v>176828.54</v>
      </c>
      <c r="AF22" s="5">
        <v>177915.46</v>
      </c>
      <c r="AG22" s="5">
        <v>181536.23</v>
      </c>
      <c r="AH22" s="5">
        <v>182513.81</v>
      </c>
      <c r="AI22" s="5">
        <v>194725.02</v>
      </c>
      <c r="AJ22" s="5">
        <v>194436.86</v>
      </c>
      <c r="AK22" s="5">
        <v>192054.51</v>
      </c>
      <c r="AL22" s="5">
        <v>195518.12</v>
      </c>
      <c r="AM22" s="5">
        <v>197854.79</v>
      </c>
      <c r="AN22" s="5">
        <v>180981.29</v>
      </c>
    </row>
    <row r="23" spans="1:40">
      <c r="A23" s="3">
        <v>19</v>
      </c>
      <c r="B23" s="1" t="s">
        <v>109</v>
      </c>
      <c r="C23" s="4" t="s">
        <v>43</v>
      </c>
      <c r="D23" s="4" t="s">
        <v>91</v>
      </c>
      <c r="E23" s="5">
        <v>1355811.3</v>
      </c>
      <c r="F23" s="5">
        <v>1300077.31</v>
      </c>
      <c r="G23" s="5">
        <v>1316781.68</v>
      </c>
      <c r="H23" s="5">
        <v>1318487.06</v>
      </c>
      <c r="I23" s="5">
        <v>1336480.99</v>
      </c>
      <c r="J23" s="5">
        <v>1349541.13</v>
      </c>
      <c r="K23" s="5">
        <v>1355594.25</v>
      </c>
      <c r="L23" s="5">
        <v>1376287.38</v>
      </c>
      <c r="M23" s="5">
        <v>1381456.94</v>
      </c>
      <c r="N23" s="5">
        <v>1385324.32</v>
      </c>
      <c r="O23" s="5">
        <v>1421524.55</v>
      </c>
      <c r="P23" s="5">
        <v>1455380.33</v>
      </c>
      <c r="Q23" s="5">
        <v>1444262.12</v>
      </c>
      <c r="R23" s="5">
        <v>1426720.03</v>
      </c>
      <c r="S23" s="5">
        <v>1456136.19</v>
      </c>
      <c r="T23" s="5">
        <v>1451670.9</v>
      </c>
      <c r="U23" s="5">
        <v>1462107.16</v>
      </c>
      <c r="V23" s="5">
        <v>1485884.38</v>
      </c>
      <c r="W23" s="5">
        <v>1253356.3799999999</v>
      </c>
      <c r="X23" s="5">
        <v>1268070.96</v>
      </c>
      <c r="Y23" s="5">
        <v>1295419.56</v>
      </c>
      <c r="Z23" s="5">
        <v>1314378.27</v>
      </c>
      <c r="AA23" s="5">
        <v>1326196.32</v>
      </c>
      <c r="AB23" s="5">
        <v>1360114.54</v>
      </c>
      <c r="AC23" s="5">
        <v>1382555.3</v>
      </c>
      <c r="AD23" s="5">
        <v>1376420.62</v>
      </c>
      <c r="AE23" s="5">
        <v>1421062.49</v>
      </c>
      <c r="AF23" s="5">
        <v>1443944.72</v>
      </c>
      <c r="AG23" s="5">
        <v>1455757.88</v>
      </c>
      <c r="AH23" s="5">
        <v>1472240.54</v>
      </c>
      <c r="AI23" s="5">
        <v>1493179.36</v>
      </c>
      <c r="AJ23" s="5">
        <v>1514098.56</v>
      </c>
      <c r="AK23" s="5">
        <v>1519623.5</v>
      </c>
      <c r="AL23" s="5">
        <v>1534450.59</v>
      </c>
      <c r="AM23" s="5">
        <v>1593217.01</v>
      </c>
      <c r="AN23" s="5">
        <v>1619426.99</v>
      </c>
    </row>
    <row r="24" spans="1:40">
      <c r="A24" s="3">
        <v>20</v>
      </c>
      <c r="B24" s="1" t="s">
        <v>110</v>
      </c>
      <c r="C24" s="4" t="s">
        <v>43</v>
      </c>
      <c r="D24" s="4" t="s">
        <v>91</v>
      </c>
      <c r="E24" s="5">
        <v>34446.86</v>
      </c>
      <c r="F24" s="5">
        <v>34446.86</v>
      </c>
      <c r="G24" s="5">
        <v>34446.86</v>
      </c>
      <c r="H24" s="5">
        <v>34446.86</v>
      </c>
      <c r="I24" s="5">
        <v>34446.86</v>
      </c>
      <c r="J24" s="5">
        <v>34469.96</v>
      </c>
      <c r="K24" s="5">
        <v>34492.730000000003</v>
      </c>
      <c r="L24" s="5">
        <v>34492.730000000003</v>
      </c>
      <c r="M24" s="5">
        <v>34492.730000000003</v>
      </c>
      <c r="N24" s="5">
        <v>34492.730000000003</v>
      </c>
      <c r="O24" s="5">
        <v>34515.83</v>
      </c>
      <c r="P24" s="5">
        <v>41268.83</v>
      </c>
      <c r="Q24" s="5">
        <v>41268.83</v>
      </c>
      <c r="R24" s="5">
        <v>41268.83</v>
      </c>
      <c r="S24" s="5">
        <v>41268.83</v>
      </c>
      <c r="T24" s="5">
        <v>41268.83</v>
      </c>
      <c r="U24" s="5">
        <v>41268.83</v>
      </c>
      <c r="V24" s="5">
        <v>51615.83</v>
      </c>
      <c r="W24" s="5">
        <v>51638.6</v>
      </c>
      <c r="X24" s="5">
        <v>51638.6</v>
      </c>
      <c r="Y24" s="5">
        <v>51638.6</v>
      </c>
      <c r="Z24" s="5">
        <v>51638.6</v>
      </c>
      <c r="AA24" s="5">
        <v>51638.6</v>
      </c>
      <c r="AB24" s="5">
        <v>51638.6</v>
      </c>
      <c r="AC24" s="5">
        <v>51638.6</v>
      </c>
      <c r="AD24" s="5">
        <v>51638.6</v>
      </c>
      <c r="AE24" s="5">
        <v>51638.6</v>
      </c>
      <c r="AF24" s="5">
        <v>51638.6</v>
      </c>
      <c r="AG24" s="5">
        <v>51638.6</v>
      </c>
      <c r="AH24" s="5">
        <v>53699.92</v>
      </c>
      <c r="AI24" s="5">
        <v>51638.6</v>
      </c>
      <c r="AJ24" s="5">
        <v>51638.6</v>
      </c>
      <c r="AK24" s="5">
        <v>51638.6</v>
      </c>
      <c r="AL24" s="5">
        <v>51638.6</v>
      </c>
      <c r="AM24" s="5">
        <v>51638.6</v>
      </c>
      <c r="AN24" s="5">
        <v>51638.6</v>
      </c>
    </row>
    <row r="25" spans="1:40">
      <c r="A25" s="3">
        <v>21</v>
      </c>
      <c r="B25" s="1" t="s">
        <v>111</v>
      </c>
      <c r="C25" s="4" t="s">
        <v>43</v>
      </c>
      <c r="D25" s="4" t="s">
        <v>91</v>
      </c>
      <c r="E25" s="5">
        <v>30659.45</v>
      </c>
      <c r="F25" s="5">
        <v>30659.45</v>
      </c>
      <c r="G25" s="5">
        <v>30659.45</v>
      </c>
      <c r="H25" s="5">
        <v>35329.42</v>
      </c>
      <c r="I25" s="5">
        <v>35329.42</v>
      </c>
      <c r="J25" s="5">
        <v>35329.42</v>
      </c>
      <c r="K25" s="5">
        <v>35329.42</v>
      </c>
      <c r="L25" s="5">
        <v>35329.42</v>
      </c>
      <c r="M25" s="5">
        <v>35329.42</v>
      </c>
      <c r="N25" s="5">
        <v>35329.42</v>
      </c>
      <c r="O25" s="5">
        <v>35329.42</v>
      </c>
      <c r="P25" s="5">
        <v>35329.42</v>
      </c>
      <c r="Q25" s="5">
        <v>42401.43</v>
      </c>
      <c r="R25" s="5">
        <v>42401.43</v>
      </c>
      <c r="S25" s="5">
        <v>42401.43</v>
      </c>
      <c r="T25" s="5">
        <v>42401.43</v>
      </c>
      <c r="U25" s="5">
        <v>42401.43</v>
      </c>
      <c r="V25" s="5">
        <v>42401.43</v>
      </c>
      <c r="W25" s="5">
        <v>42401.43</v>
      </c>
      <c r="X25" s="5">
        <v>42401.43</v>
      </c>
      <c r="Y25" s="5">
        <v>42401.43</v>
      </c>
      <c r="Z25" s="5">
        <v>42401.43</v>
      </c>
      <c r="AA25" s="5">
        <v>42401.43</v>
      </c>
      <c r="AB25" s="5">
        <v>42401.43</v>
      </c>
      <c r="AC25" s="5">
        <v>42401.43</v>
      </c>
      <c r="AD25" s="5">
        <v>42401.43</v>
      </c>
      <c r="AE25" s="5">
        <v>42401.43</v>
      </c>
      <c r="AF25" s="5">
        <v>42401.43</v>
      </c>
      <c r="AG25" s="5">
        <v>42401.43</v>
      </c>
      <c r="AH25" s="5">
        <v>19979.48</v>
      </c>
      <c r="AI25" s="5">
        <v>42401.43</v>
      </c>
      <c r="AJ25" s="5">
        <v>50517.760000000002</v>
      </c>
      <c r="AK25" s="5">
        <v>50517.55</v>
      </c>
      <c r="AL25" s="5">
        <v>50517.55</v>
      </c>
      <c r="AM25" s="5">
        <v>50517.55</v>
      </c>
      <c r="AN25" s="5">
        <v>58614.78</v>
      </c>
    </row>
    <row r="26" spans="1:40" ht="29" customHeight="1">
      <c r="A26" s="3">
        <v>22</v>
      </c>
      <c r="B26" s="1" t="s">
        <v>112</v>
      </c>
      <c r="C26" s="4" t="s">
        <v>43</v>
      </c>
      <c r="D26" s="4" t="s">
        <v>44</v>
      </c>
      <c r="E26" s="5">
        <v>22932.94</v>
      </c>
      <c r="F26" s="5">
        <v>18754.759999999998</v>
      </c>
      <c r="G26" s="5">
        <v>17665.7</v>
      </c>
      <c r="H26" s="5">
        <v>21070.79</v>
      </c>
      <c r="I26" s="5">
        <v>16538.060000000001</v>
      </c>
      <c r="J26" s="5">
        <v>17329.46</v>
      </c>
      <c r="K26" s="5">
        <v>17502.89</v>
      </c>
      <c r="L26" s="5">
        <v>18364.3</v>
      </c>
      <c r="M26" s="5">
        <v>16160.32</v>
      </c>
      <c r="N26" s="5">
        <v>15907.61</v>
      </c>
      <c r="O26" s="5">
        <v>16502.43</v>
      </c>
      <c r="P26" s="5">
        <v>15207.54</v>
      </c>
      <c r="Q26" s="5">
        <v>17836.78</v>
      </c>
      <c r="R26" s="5">
        <v>16695.72</v>
      </c>
      <c r="S26" s="5">
        <v>15061.09</v>
      </c>
      <c r="T26" s="5">
        <v>17372.54</v>
      </c>
      <c r="U26" s="5">
        <v>17013.96</v>
      </c>
      <c r="V26" s="5">
        <v>15744.16</v>
      </c>
      <c r="W26" s="5">
        <v>16546.599999999999</v>
      </c>
      <c r="X26" s="5">
        <v>17491.490000000002</v>
      </c>
      <c r="Y26" s="5">
        <v>16027.46</v>
      </c>
      <c r="Z26" s="5">
        <v>16008.88</v>
      </c>
      <c r="AA26" s="5">
        <v>15634.42</v>
      </c>
      <c r="AB26" s="5">
        <v>16984.93</v>
      </c>
      <c r="AC26" s="5">
        <v>18439.759999999998</v>
      </c>
      <c r="AD26" s="5">
        <v>18892.689999999999</v>
      </c>
      <c r="AE26" s="5">
        <v>18737.150000000001</v>
      </c>
      <c r="AF26" s="5">
        <v>20784.88</v>
      </c>
      <c r="AG26" s="5">
        <v>16884.62</v>
      </c>
      <c r="AH26" s="5">
        <v>11307.74</v>
      </c>
      <c r="AI26" s="5">
        <v>18825.61</v>
      </c>
      <c r="AJ26" s="5">
        <v>19584.490000000002</v>
      </c>
      <c r="AK26" s="5">
        <v>20348.37</v>
      </c>
      <c r="AL26" s="5">
        <v>20522.36</v>
      </c>
      <c r="AM26" s="5">
        <v>18196.599999999999</v>
      </c>
      <c r="AN26" s="5">
        <v>20954.810000000001</v>
      </c>
    </row>
    <row r="27" spans="1:40">
      <c r="A27" s="3">
        <v>23</v>
      </c>
      <c r="B27" s="1" t="s">
        <v>113</v>
      </c>
      <c r="C27" s="4" t="s">
        <v>43</v>
      </c>
      <c r="D27" s="4" t="s">
        <v>44</v>
      </c>
      <c r="E27" s="5">
        <v>45169.59</v>
      </c>
      <c r="F27" s="5">
        <v>12810.65</v>
      </c>
      <c r="G27" s="5">
        <v>16890.37</v>
      </c>
      <c r="H27" s="5">
        <v>10260.75</v>
      </c>
      <c r="I27" s="5">
        <v>48501.03</v>
      </c>
      <c r="J27" s="5">
        <v>62970.39</v>
      </c>
      <c r="K27" s="5">
        <v>53453.93</v>
      </c>
      <c r="L27" s="5">
        <v>27631.95</v>
      </c>
      <c r="M27" s="5">
        <v>41020.949999999997</v>
      </c>
      <c r="N27" s="5">
        <v>15171.35</v>
      </c>
      <c r="O27" s="5">
        <v>14820.32</v>
      </c>
      <c r="P27" s="5">
        <v>23002.18</v>
      </c>
      <c r="Q27" s="5">
        <v>20578.03</v>
      </c>
      <c r="R27" s="5">
        <v>72478.06</v>
      </c>
      <c r="S27" s="5">
        <v>10124.969999999999</v>
      </c>
      <c r="T27" s="5">
        <v>33543.22</v>
      </c>
      <c r="U27" s="5">
        <v>29006.69</v>
      </c>
      <c r="V27" s="5">
        <v>19024.580000000002</v>
      </c>
      <c r="W27" s="5">
        <v>26664.2</v>
      </c>
      <c r="X27" s="5">
        <v>7070.25</v>
      </c>
      <c r="Y27" s="5">
        <v>15534.25</v>
      </c>
      <c r="Z27" s="5">
        <v>12210.26</v>
      </c>
      <c r="AA27" s="5">
        <v>27151.54</v>
      </c>
      <c r="AB27" s="5">
        <v>27183.62</v>
      </c>
      <c r="AC27" s="5">
        <v>14655.92</v>
      </c>
      <c r="AD27" s="5">
        <v>13763.81</v>
      </c>
      <c r="AE27" s="5">
        <v>22285.46</v>
      </c>
      <c r="AF27" s="5">
        <v>21681.49</v>
      </c>
      <c r="AG27" s="5">
        <v>21982.13</v>
      </c>
      <c r="AH27" s="5">
        <v>13696.25</v>
      </c>
      <c r="AI27" s="5">
        <v>14163.02</v>
      </c>
      <c r="AJ27" s="5">
        <v>29589.49</v>
      </c>
      <c r="AK27" s="5">
        <v>26346.84</v>
      </c>
      <c r="AL27" s="5">
        <v>20293.099999999999</v>
      </c>
      <c r="AM27" s="5">
        <v>14775.91</v>
      </c>
      <c r="AN27" s="5">
        <v>43275.81</v>
      </c>
    </row>
    <row r="28" spans="1:40">
      <c r="A28" s="3">
        <v>24</v>
      </c>
      <c r="B28" s="1" t="s">
        <v>114</v>
      </c>
      <c r="C28" s="4" t="s">
        <v>43</v>
      </c>
      <c r="D28" s="4" t="s">
        <v>44</v>
      </c>
      <c r="E28" s="5">
        <v>1611285.3</v>
      </c>
      <c r="F28" s="5">
        <v>1621196.98</v>
      </c>
      <c r="G28" s="5">
        <v>1642105.03</v>
      </c>
      <c r="H28" s="5">
        <v>1655105.46</v>
      </c>
      <c r="I28" s="5">
        <v>1674555.99</v>
      </c>
      <c r="J28" s="5">
        <v>1689536.77</v>
      </c>
      <c r="K28" s="5">
        <v>1700266.43</v>
      </c>
      <c r="L28" s="5">
        <v>1717350.44</v>
      </c>
      <c r="M28" s="5">
        <v>1736174.76</v>
      </c>
      <c r="N28" s="5">
        <v>1742817.68</v>
      </c>
      <c r="O28" s="5">
        <v>1770861.98</v>
      </c>
      <c r="P28" s="5">
        <v>1821017.49</v>
      </c>
      <c r="Q28" s="5">
        <v>1822287.2</v>
      </c>
      <c r="R28" s="5">
        <v>1825369.33</v>
      </c>
      <c r="S28" s="5">
        <v>1833246.5</v>
      </c>
      <c r="T28" s="5">
        <v>1832806.59</v>
      </c>
      <c r="U28" s="5">
        <v>1832174.9</v>
      </c>
      <c r="V28" s="5">
        <v>1837618.97</v>
      </c>
      <c r="W28" s="5">
        <v>1823961.37</v>
      </c>
      <c r="X28" s="5">
        <v>1841158.64</v>
      </c>
      <c r="Y28" s="5">
        <v>1863515.69</v>
      </c>
      <c r="Z28" s="5">
        <v>1852088.43</v>
      </c>
      <c r="AA28" s="5">
        <v>1868261.51</v>
      </c>
      <c r="AB28" s="5">
        <v>1918406.19</v>
      </c>
      <c r="AC28" s="5">
        <v>1921290.83</v>
      </c>
      <c r="AD28" s="5">
        <v>1937000.34</v>
      </c>
      <c r="AE28" s="5">
        <v>1962380.07</v>
      </c>
      <c r="AF28" s="5">
        <v>1977284.74</v>
      </c>
      <c r="AG28" s="5">
        <v>1998551.51</v>
      </c>
      <c r="AH28" s="5">
        <v>1716749.2</v>
      </c>
      <c r="AI28" s="5">
        <v>2017347.08</v>
      </c>
      <c r="AJ28" s="5">
        <v>2067913.14</v>
      </c>
      <c r="AK28" s="5">
        <v>2103332.96</v>
      </c>
      <c r="AL28" s="5">
        <v>2099942.5099999998</v>
      </c>
      <c r="AM28" s="5">
        <v>2104938.9500000002</v>
      </c>
      <c r="AN28" s="5">
        <v>2160368.7000000002</v>
      </c>
    </row>
    <row r="29" spans="1:40">
      <c r="A29" s="3">
        <v>25</v>
      </c>
      <c r="B29" s="1" t="s">
        <v>115</v>
      </c>
      <c r="C29" s="4" t="s">
        <v>43</v>
      </c>
      <c r="D29" s="4" t="s">
        <v>44</v>
      </c>
      <c r="E29" s="5">
        <v>78412.34</v>
      </c>
      <c r="F29" s="5">
        <v>75878.5</v>
      </c>
      <c r="G29" s="5">
        <v>59323.24</v>
      </c>
      <c r="H29" s="5">
        <v>59080.17</v>
      </c>
      <c r="I29" s="5">
        <v>59035</v>
      </c>
      <c r="J29" s="5">
        <v>59013.11</v>
      </c>
      <c r="K29" s="5">
        <v>53998.83</v>
      </c>
      <c r="L29" s="5">
        <v>46004</v>
      </c>
      <c r="M29" s="5">
        <v>41395.550000000003</v>
      </c>
      <c r="N29" s="5">
        <v>50072.37</v>
      </c>
      <c r="O29" s="5">
        <v>50155.94</v>
      </c>
      <c r="P29" s="5">
        <v>60564.19</v>
      </c>
      <c r="Q29" s="5">
        <v>60552.05</v>
      </c>
      <c r="R29" s="5">
        <v>60546.26</v>
      </c>
      <c r="S29" s="5">
        <v>60543.21</v>
      </c>
      <c r="T29" s="5">
        <v>60400.36</v>
      </c>
      <c r="U29" s="5">
        <v>60397.79</v>
      </c>
      <c r="V29" s="5">
        <v>69397.09</v>
      </c>
      <c r="W29" s="5">
        <v>69396.820000000007</v>
      </c>
      <c r="X29" s="5">
        <v>79395.839999999997</v>
      </c>
      <c r="Y29" s="5">
        <v>85395.36</v>
      </c>
      <c r="Z29" s="5">
        <v>90393.66</v>
      </c>
      <c r="AA29" s="5">
        <v>90239.19</v>
      </c>
      <c r="AB29" s="5">
        <v>108151.69</v>
      </c>
      <c r="AC29" s="5">
        <v>108151.11</v>
      </c>
      <c r="AD29" s="5">
        <v>108150.82</v>
      </c>
      <c r="AE29" s="5">
        <v>118149.77</v>
      </c>
      <c r="AF29" s="5">
        <v>108149.67</v>
      </c>
      <c r="AG29" s="5">
        <v>118149.57</v>
      </c>
      <c r="AH29" s="5">
        <v>228122.53</v>
      </c>
      <c r="AI29" s="5">
        <v>131619.57</v>
      </c>
      <c r="AJ29" s="5">
        <v>131619.57</v>
      </c>
      <c r="AK29" s="5">
        <v>138619.51999999999</v>
      </c>
      <c r="AL29" s="5">
        <v>133619.29</v>
      </c>
      <c r="AM29" s="5">
        <v>145619.29</v>
      </c>
      <c r="AN29" s="5">
        <v>138914.17000000001</v>
      </c>
    </row>
    <row r="30" spans="1:40" ht="22.5" customHeight="1">
      <c r="A30" s="3">
        <v>26</v>
      </c>
      <c r="B30" s="1" t="s">
        <v>116</v>
      </c>
      <c r="C30" s="4" t="s">
        <v>43</v>
      </c>
      <c r="D30" s="4" t="s">
        <v>89</v>
      </c>
      <c r="E30" s="5">
        <v>1418698</v>
      </c>
      <c r="F30" s="5">
        <v>1418406.62</v>
      </c>
      <c r="G30" s="5">
        <v>1431179.03</v>
      </c>
      <c r="H30" s="5">
        <v>1431282.91</v>
      </c>
      <c r="I30" s="5">
        <v>1439163.99</v>
      </c>
      <c r="J30" s="5">
        <v>1456200.01</v>
      </c>
      <c r="K30" s="5">
        <v>1456560.87</v>
      </c>
      <c r="L30" s="5">
        <v>1472792.37</v>
      </c>
      <c r="M30" s="5">
        <v>1489768.18</v>
      </c>
      <c r="N30" s="5">
        <v>1494942.22</v>
      </c>
      <c r="O30" s="5">
        <v>1511818.67</v>
      </c>
      <c r="P30" s="5">
        <v>1545986.61</v>
      </c>
      <c r="Q30" s="5">
        <v>1531039.29</v>
      </c>
      <c r="R30" s="5">
        <v>1522343.7</v>
      </c>
      <c r="S30" s="5">
        <v>1543301.04</v>
      </c>
      <c r="T30" s="5">
        <v>1550292.5</v>
      </c>
      <c r="U30" s="5">
        <v>1565743.53</v>
      </c>
      <c r="V30" s="5">
        <v>1586726.12</v>
      </c>
      <c r="W30" s="5">
        <v>1593151.89</v>
      </c>
      <c r="X30" s="5">
        <v>1609090.76</v>
      </c>
      <c r="Y30" s="5">
        <v>1639517.4</v>
      </c>
      <c r="Z30" s="5">
        <v>1662456.09</v>
      </c>
      <c r="AA30" s="5">
        <v>1688085.57</v>
      </c>
      <c r="AB30" s="5">
        <v>1717909.42</v>
      </c>
      <c r="AC30" s="5">
        <v>1710141.37</v>
      </c>
      <c r="AD30" s="5">
        <v>1711341.98</v>
      </c>
      <c r="AE30" s="5">
        <v>1776188.43</v>
      </c>
      <c r="AF30" s="5">
        <v>1792033.75</v>
      </c>
      <c r="AG30" s="5">
        <v>1812600.52</v>
      </c>
      <c r="AH30" s="5">
        <v>1872365.02</v>
      </c>
      <c r="AI30" s="5">
        <v>1850734.6</v>
      </c>
      <c r="AJ30" s="5">
        <v>1883829.58</v>
      </c>
      <c r="AK30" s="5">
        <v>1925967.65</v>
      </c>
      <c r="AL30" s="5">
        <v>1941332.57</v>
      </c>
      <c r="AM30" s="5">
        <v>1952947.99</v>
      </c>
      <c r="AN30" s="5">
        <v>1971084.73</v>
      </c>
    </row>
    <row r="31" spans="1:40">
      <c r="A31" s="3">
        <v>27</v>
      </c>
      <c r="B31" s="1" t="s">
        <v>117</v>
      </c>
      <c r="C31" s="4" t="s">
        <v>43</v>
      </c>
      <c r="D31" s="4" t="s">
        <v>89</v>
      </c>
      <c r="E31" s="5">
        <v>14631.8</v>
      </c>
      <c r="F31" s="5">
        <v>16359.22</v>
      </c>
      <c r="G31" s="5">
        <v>13554.94</v>
      </c>
      <c r="H31" s="5">
        <v>16310.04</v>
      </c>
      <c r="I31" s="5">
        <v>18046.009999999998</v>
      </c>
      <c r="J31" s="5">
        <v>15377.77</v>
      </c>
      <c r="K31" s="5">
        <v>17292.439999999999</v>
      </c>
      <c r="L31" s="5">
        <v>18732.36</v>
      </c>
      <c r="M31" s="5">
        <v>16671.05</v>
      </c>
      <c r="N31" s="5">
        <v>17479.169999999998</v>
      </c>
      <c r="O31" s="5">
        <v>17240.13</v>
      </c>
      <c r="P31" s="5">
        <v>14631.73</v>
      </c>
      <c r="Q31" s="5">
        <v>16018.16</v>
      </c>
      <c r="R31" s="5">
        <v>17360.439999999999</v>
      </c>
      <c r="S31" s="5">
        <v>15593.16</v>
      </c>
      <c r="T31" s="5">
        <v>16688.57</v>
      </c>
      <c r="U31" s="5">
        <v>17372.27</v>
      </c>
      <c r="V31" s="5">
        <v>15985.71</v>
      </c>
      <c r="W31" s="5">
        <v>16782.330000000002</v>
      </c>
      <c r="X31" s="5">
        <v>17683.71</v>
      </c>
      <c r="Y31" s="5">
        <v>16243.64</v>
      </c>
      <c r="Z31" s="5">
        <v>17192.3</v>
      </c>
      <c r="AA31" s="5">
        <v>17816.63</v>
      </c>
      <c r="AB31" s="5">
        <v>14124.27</v>
      </c>
      <c r="AC31" s="5">
        <v>17669.96</v>
      </c>
      <c r="AD31" s="5">
        <v>17883.23</v>
      </c>
      <c r="AE31" s="5">
        <v>16401.41</v>
      </c>
      <c r="AF31" s="5">
        <v>18475.73</v>
      </c>
      <c r="AG31" s="5">
        <v>20291.13</v>
      </c>
      <c r="AH31" s="5">
        <v>15383.12</v>
      </c>
      <c r="AI31" s="5">
        <v>21377.64</v>
      </c>
      <c r="AJ31" s="5">
        <v>21379.82</v>
      </c>
      <c r="AK31" s="5">
        <v>18936.310000000001</v>
      </c>
      <c r="AL31" s="5">
        <v>19335.09</v>
      </c>
      <c r="AM31" s="5">
        <v>19945.32</v>
      </c>
      <c r="AN31" s="5">
        <v>15195.51</v>
      </c>
    </row>
    <row r="32" spans="1:40" ht="29" customHeight="1">
      <c r="A32" s="3">
        <v>28</v>
      </c>
      <c r="B32" s="1" t="s">
        <v>118</v>
      </c>
      <c r="C32" s="4" t="s">
        <v>47</v>
      </c>
      <c r="D32" s="4" t="s">
        <v>89</v>
      </c>
      <c r="E32" s="5"/>
      <c r="F32" s="5"/>
      <c r="G32" s="5"/>
      <c r="H32" s="5"/>
      <c r="I32" s="5"/>
      <c r="J32" s="5"/>
      <c r="K32" s="5"/>
      <c r="L32" s="5"/>
      <c r="M32" s="5"/>
      <c r="N32" s="5"/>
      <c r="O32" s="5"/>
      <c r="P32" s="5">
        <v>1.756</v>
      </c>
      <c r="Q32" s="5"/>
      <c r="R32" s="5"/>
      <c r="S32" s="5"/>
      <c r="T32" s="5"/>
      <c r="U32" s="5"/>
      <c r="V32" s="5"/>
      <c r="W32" s="5"/>
      <c r="X32" s="5"/>
      <c r="Y32" s="5"/>
      <c r="Z32" s="5"/>
      <c r="AA32" s="5"/>
      <c r="AB32" s="5">
        <v>1.6339999999999999</v>
      </c>
      <c r="AC32" s="5"/>
      <c r="AD32" s="5"/>
      <c r="AE32" s="5"/>
      <c r="AF32" s="5"/>
      <c r="AG32" s="5"/>
      <c r="AH32" s="5"/>
      <c r="AI32" s="5"/>
      <c r="AJ32" s="5"/>
      <c r="AK32" s="5"/>
      <c r="AL32" s="5"/>
      <c r="AM32" s="5"/>
      <c r="AN32" s="5">
        <v>1.21</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4"/>
  <sheetViews>
    <sheetView tabSelected="1" workbookViewId="0">
      <pane xSplit="4" ySplit="4" topLeftCell="E8" activePane="bottomRight" state="frozenSplit"/>
      <selection pane="topRight" activeCell="E1" sqref="E1"/>
      <selection pane="bottomLeft" activeCell="A5" sqref="A5"/>
      <selection pane="bottomRight" activeCell="F13" sqref="F13"/>
    </sheetView>
  </sheetViews>
  <sheetFormatPr defaultRowHeight="14.5"/>
  <cols>
    <col min="1" max="1" width="4.6328125" customWidth="1"/>
    <col min="2" max="2" width="40.6328125" style="2" customWidth="1"/>
    <col min="3" max="3" width="8.6328125" customWidth="1"/>
    <col min="4" max="4" width="7.6328125" customWidth="1"/>
    <col min="5" max="16" width="11.6328125" customWidth="1"/>
  </cols>
  <sheetData>
    <row r="1" spans="1:16" ht="15.5" customHeight="1">
      <c r="A1" s="15" t="s">
        <v>119</v>
      </c>
      <c r="B1" s="13"/>
      <c r="C1" s="14"/>
      <c r="D1" s="14"/>
      <c r="E1" s="14"/>
      <c r="F1" s="14"/>
      <c r="G1" s="14"/>
      <c r="H1" s="14"/>
      <c r="I1" s="14"/>
      <c r="J1" s="14"/>
      <c r="K1" s="14"/>
      <c r="L1" s="14"/>
      <c r="M1" s="14"/>
      <c r="N1" s="14"/>
      <c r="O1" s="14"/>
      <c r="P1" s="14"/>
    </row>
    <row r="2" spans="1:16" ht="44" customHeight="1">
      <c r="A2" s="12" t="s">
        <v>1</v>
      </c>
      <c r="B2" s="13"/>
      <c r="C2" s="14"/>
      <c r="D2" s="14"/>
      <c r="E2" s="14"/>
      <c r="F2" s="14"/>
      <c r="G2" s="14"/>
      <c r="H2" s="14"/>
      <c r="I2" s="14"/>
      <c r="J2" s="14"/>
      <c r="K2" s="14"/>
      <c r="L2" s="14"/>
      <c r="M2" s="14"/>
      <c r="N2" s="14"/>
      <c r="O2" s="14"/>
      <c r="P2" s="14"/>
    </row>
    <row r="4" spans="1:16">
      <c r="A4" s="6" t="s">
        <v>2</v>
      </c>
      <c r="B4" s="6" t="s">
        <v>3</v>
      </c>
      <c r="C4" s="6" t="s">
        <v>4</v>
      </c>
      <c r="D4" s="6" t="s">
        <v>5</v>
      </c>
      <c r="E4" s="6" t="s">
        <v>120</v>
      </c>
      <c r="F4" s="6" t="s">
        <v>121</v>
      </c>
      <c r="G4" s="6" t="s">
        <v>122</v>
      </c>
      <c r="H4" s="6" t="s">
        <v>123</v>
      </c>
      <c r="I4" s="6" t="s">
        <v>124</v>
      </c>
      <c r="J4" s="6" t="s">
        <v>125</v>
      </c>
      <c r="K4" s="6" t="s">
        <v>126</v>
      </c>
      <c r="L4" s="6" t="s">
        <v>127</v>
      </c>
      <c r="M4" s="6" t="s">
        <v>128</v>
      </c>
      <c r="N4" s="6" t="s">
        <v>129</v>
      </c>
      <c r="O4" s="6" t="s">
        <v>130</v>
      </c>
      <c r="P4" s="6" t="s">
        <v>131</v>
      </c>
    </row>
    <row r="5" spans="1:16">
      <c r="A5" s="3">
        <v>1</v>
      </c>
      <c r="B5" s="1" t="s">
        <v>132</v>
      </c>
      <c r="C5" s="4" t="s">
        <v>43</v>
      </c>
      <c r="D5" s="4" t="s">
        <v>89</v>
      </c>
      <c r="E5" s="5">
        <v>1873211.01</v>
      </c>
      <c r="F5" s="5">
        <v>1899955.29</v>
      </c>
      <c r="G5" s="5">
        <v>1934562.86</v>
      </c>
      <c r="H5" s="5">
        <v>2042754.86</v>
      </c>
      <c r="I5" s="5">
        <v>2055665.02</v>
      </c>
      <c r="J5" s="5">
        <v>2078757.62</v>
      </c>
      <c r="K5" s="5">
        <v>2128681.9500000002</v>
      </c>
      <c r="L5" s="5">
        <v>2231961.61</v>
      </c>
      <c r="M5" s="5">
        <v>2443523.5</v>
      </c>
      <c r="N5" s="5">
        <v>2387267.2000000002</v>
      </c>
      <c r="O5" s="5">
        <v>2731739.81</v>
      </c>
      <c r="P5" s="5">
        <v>2682737.81</v>
      </c>
    </row>
    <row r="6" spans="1:16">
      <c r="A6" s="3">
        <v>2</v>
      </c>
      <c r="B6" s="1" t="s">
        <v>133</v>
      </c>
      <c r="C6" s="4" t="s">
        <v>43</v>
      </c>
      <c r="D6" s="4" t="s">
        <v>44</v>
      </c>
      <c r="E6" s="5">
        <v>1668936.78</v>
      </c>
      <c r="F6" s="5">
        <v>1697045.55</v>
      </c>
      <c r="G6" s="5">
        <v>1739433.01</v>
      </c>
      <c r="H6" s="5">
        <v>1823040.22</v>
      </c>
      <c r="I6" s="5">
        <v>1842511.07</v>
      </c>
      <c r="J6" s="5">
        <v>1850768.17</v>
      </c>
      <c r="K6" s="5">
        <v>1876103.96</v>
      </c>
      <c r="L6" s="5">
        <v>1955701.85</v>
      </c>
      <c r="M6" s="5">
        <v>1907635.84</v>
      </c>
      <c r="N6" s="5">
        <v>2101005.67</v>
      </c>
      <c r="O6" s="5">
        <v>2159308.9900000002</v>
      </c>
      <c r="P6" s="5">
        <v>2241228.4700000002</v>
      </c>
    </row>
    <row r="7" spans="1:16" ht="29" customHeight="1">
      <c r="A7" s="3">
        <v>3</v>
      </c>
      <c r="B7" s="1" t="s">
        <v>134</v>
      </c>
      <c r="C7" s="4" t="s">
        <v>43</v>
      </c>
      <c r="D7" s="4" t="s">
        <v>44</v>
      </c>
      <c r="E7" s="5">
        <v>1701428.27</v>
      </c>
      <c r="F7" s="5">
        <v>1748499.71</v>
      </c>
      <c r="G7" s="5">
        <v>1777570.31</v>
      </c>
      <c r="H7" s="5">
        <v>1881410.19</v>
      </c>
      <c r="I7" s="5">
        <v>1893789.71</v>
      </c>
      <c r="J7" s="5">
        <v>1906991.1</v>
      </c>
      <c r="K7" s="5">
        <v>1948911.05</v>
      </c>
      <c r="L7" s="5">
        <v>2026341.05</v>
      </c>
      <c r="M7" s="5">
        <v>1822460.07</v>
      </c>
      <c r="N7" s="5">
        <v>2157159.92</v>
      </c>
      <c r="O7" s="5">
        <v>1954807.66</v>
      </c>
      <c r="P7" s="5">
        <v>2299217.16</v>
      </c>
    </row>
    <row r="8" spans="1:16" ht="29" customHeight="1">
      <c r="A8" s="3">
        <v>4</v>
      </c>
      <c r="B8" s="1" t="s">
        <v>135</v>
      </c>
      <c r="C8" s="4" t="s">
        <v>43</v>
      </c>
      <c r="D8" s="4" t="s">
        <v>44</v>
      </c>
      <c r="E8" s="5">
        <v>26980.080000000002</v>
      </c>
      <c r="F8" s="5">
        <v>7707.92</v>
      </c>
      <c r="G8" s="5">
        <v>3373.47</v>
      </c>
      <c r="H8" s="5">
        <v>2309.25</v>
      </c>
      <c r="I8" s="5">
        <v>9343.06</v>
      </c>
      <c r="J8" s="5">
        <v>13254.41</v>
      </c>
      <c r="K8" s="5">
        <v>12627.3</v>
      </c>
      <c r="L8" s="5">
        <v>37552.78</v>
      </c>
      <c r="M8" s="5">
        <v>299390</v>
      </c>
      <c r="N8" s="5">
        <v>57957.52</v>
      </c>
      <c r="O8" s="5">
        <v>401546.06</v>
      </c>
      <c r="P8" s="5">
        <v>81112.42</v>
      </c>
    </row>
    <row r="9" spans="1:16">
      <c r="A9" s="3">
        <v>5</v>
      </c>
      <c r="B9" s="1" t="s">
        <v>136</v>
      </c>
      <c r="C9" s="4" t="s">
        <v>43</v>
      </c>
      <c r="D9" s="4" t="s">
        <v>89</v>
      </c>
      <c r="E9" s="5">
        <v>864151.75</v>
      </c>
      <c r="F9" s="5">
        <v>843444.76</v>
      </c>
      <c r="G9" s="5">
        <v>901869.31</v>
      </c>
      <c r="H9" s="5">
        <v>943343.27</v>
      </c>
      <c r="I9" s="5">
        <v>953590.56</v>
      </c>
      <c r="J9" s="5">
        <v>1005499.06</v>
      </c>
      <c r="K9" s="5">
        <v>1048308.21</v>
      </c>
      <c r="L9" s="5">
        <v>1102359.3899999999</v>
      </c>
      <c r="M9" s="5">
        <v>1189510.72</v>
      </c>
      <c r="N9" s="5">
        <v>1189671.56</v>
      </c>
      <c r="O9" s="5">
        <v>1301570.05</v>
      </c>
      <c r="P9" s="5">
        <v>1257249.71</v>
      </c>
    </row>
    <row r="10" spans="1:16">
      <c r="A10" s="3">
        <v>6</v>
      </c>
      <c r="B10" s="1" t="s">
        <v>137</v>
      </c>
      <c r="C10" s="4" t="s">
        <v>43</v>
      </c>
      <c r="D10" s="4" t="s">
        <v>89</v>
      </c>
      <c r="E10" s="5">
        <v>1781867.33</v>
      </c>
      <c r="F10" s="5">
        <v>1811187.74</v>
      </c>
      <c r="G10" s="5">
        <v>1843044.32</v>
      </c>
      <c r="H10" s="5">
        <v>1945000.36</v>
      </c>
      <c r="I10" s="5">
        <v>1952747.49</v>
      </c>
      <c r="J10" s="5">
        <v>1964247.56</v>
      </c>
      <c r="K10" s="5">
        <v>2009798.85</v>
      </c>
      <c r="L10" s="5">
        <v>2110496.09</v>
      </c>
      <c r="M10" s="5">
        <v>2295560.7999999998</v>
      </c>
      <c r="N10" s="5">
        <v>2260042.4900000002</v>
      </c>
      <c r="O10" s="5">
        <v>2568953.21</v>
      </c>
      <c r="P10" s="5">
        <v>2554529.2799999998</v>
      </c>
    </row>
    <row r="11" spans="1:16">
      <c r="A11" s="3">
        <v>7</v>
      </c>
      <c r="B11" s="1" t="s">
        <v>138</v>
      </c>
      <c r="C11" s="4" t="s">
        <v>43</v>
      </c>
      <c r="D11" s="4" t="s">
        <v>89</v>
      </c>
      <c r="E11" s="5">
        <v>31614.31</v>
      </c>
      <c r="F11" s="5">
        <v>30516.16</v>
      </c>
      <c r="G11" s="5">
        <v>29132.91</v>
      </c>
      <c r="H11" s="5">
        <v>29434.639999999999</v>
      </c>
      <c r="I11" s="5">
        <v>32305.57</v>
      </c>
      <c r="J11" s="5">
        <v>29276.12</v>
      </c>
      <c r="K11" s="5">
        <v>34236.400000000001</v>
      </c>
      <c r="L11" s="5">
        <v>29008.6</v>
      </c>
      <c r="M11" s="5">
        <v>27777.32</v>
      </c>
      <c r="N11" s="5">
        <v>26593.29</v>
      </c>
      <c r="O11" s="5">
        <v>21545.46</v>
      </c>
      <c r="P11" s="5">
        <v>25610.400000000001</v>
      </c>
    </row>
    <row r="12" spans="1:16">
      <c r="A12" s="3">
        <v>8</v>
      </c>
      <c r="B12" s="1" t="s">
        <v>139</v>
      </c>
      <c r="C12" s="4" t="s">
        <v>43</v>
      </c>
      <c r="D12" s="4" t="s">
        <v>89</v>
      </c>
      <c r="E12" s="5">
        <v>36118.769999999997</v>
      </c>
      <c r="F12" s="5">
        <v>37456.870000000003</v>
      </c>
      <c r="G12" s="5">
        <v>35198.44</v>
      </c>
      <c r="H12" s="5">
        <v>37539.58</v>
      </c>
      <c r="I12" s="5">
        <v>35737.440000000002</v>
      </c>
      <c r="J12" s="5">
        <v>33465.61</v>
      </c>
      <c r="K12" s="5">
        <v>36813.919999999998</v>
      </c>
      <c r="L12" s="5">
        <v>37770.43</v>
      </c>
      <c r="M12" s="5">
        <v>38051.89</v>
      </c>
      <c r="N12" s="5">
        <v>37286.85</v>
      </c>
      <c r="O12" s="5">
        <v>38093.99</v>
      </c>
      <c r="P12" s="5">
        <v>36976.800000000003</v>
      </c>
    </row>
    <row r="13" spans="1:16">
      <c r="A13" s="3">
        <v>9</v>
      </c>
      <c r="B13" s="1" t="s">
        <v>140</v>
      </c>
      <c r="C13" s="4" t="s">
        <v>43</v>
      </c>
      <c r="D13" s="4" t="s">
        <v>91</v>
      </c>
      <c r="E13" s="5">
        <v>91343.679999999993</v>
      </c>
      <c r="F13" s="5">
        <v>88767.55</v>
      </c>
      <c r="G13" s="5">
        <v>91518.54</v>
      </c>
      <c r="H13" s="5">
        <v>97754.5</v>
      </c>
      <c r="I13" s="5">
        <v>102917.53</v>
      </c>
      <c r="J13" s="5">
        <v>114510.06</v>
      </c>
      <c r="K13" s="5">
        <v>118883.1</v>
      </c>
      <c r="L13" s="5">
        <v>121465.51</v>
      </c>
      <c r="M13" s="5">
        <v>147962.70000000001</v>
      </c>
      <c r="N13" s="5">
        <v>127224.72</v>
      </c>
      <c r="O13" s="5">
        <v>162786.60999999999</v>
      </c>
      <c r="P13" s="5">
        <v>128208.53</v>
      </c>
    </row>
    <row r="14" spans="1:16">
      <c r="A14" s="3">
        <v>10</v>
      </c>
      <c r="B14" s="1" t="s">
        <v>141</v>
      </c>
      <c r="C14" s="4" t="s">
        <v>43</v>
      </c>
      <c r="D14" s="4" t="s">
        <v>89</v>
      </c>
      <c r="E14" s="5">
        <v>1435869.25</v>
      </c>
      <c r="F14" s="5">
        <v>1460994</v>
      </c>
      <c r="G14" s="5">
        <v>1494296.3</v>
      </c>
      <c r="H14" s="5">
        <v>1550247.3</v>
      </c>
      <c r="I14" s="5">
        <v>1547147.88</v>
      </c>
      <c r="J14" s="5">
        <v>1590404.45</v>
      </c>
      <c r="K14" s="5">
        <v>1642901.08</v>
      </c>
      <c r="L14" s="5">
        <v>1721208.77</v>
      </c>
      <c r="M14" s="5">
        <v>1787306.74</v>
      </c>
      <c r="N14" s="5">
        <v>1851343.16</v>
      </c>
      <c r="O14" s="5">
        <v>1974752.21</v>
      </c>
      <c r="P14" s="5">
        <v>1973462.76</v>
      </c>
    </row>
    <row r="15" spans="1:16">
      <c r="A15" s="3">
        <v>11</v>
      </c>
      <c r="B15" s="1" t="s">
        <v>142</v>
      </c>
      <c r="C15" s="4" t="s">
        <v>43</v>
      </c>
      <c r="D15" s="4" t="s">
        <v>44</v>
      </c>
      <c r="E15" s="5">
        <v>188419.89</v>
      </c>
      <c r="F15" s="5">
        <v>215705.1</v>
      </c>
      <c r="G15" s="5">
        <v>199646.5</v>
      </c>
      <c r="H15" s="5">
        <v>282749.53000000003</v>
      </c>
      <c r="I15" s="5">
        <v>258378.86</v>
      </c>
      <c r="J15" s="5">
        <v>238631.53</v>
      </c>
      <c r="K15" s="5">
        <v>251217.94</v>
      </c>
      <c r="L15" s="5">
        <v>226326.81</v>
      </c>
      <c r="M15" s="5">
        <v>400692.82</v>
      </c>
      <c r="N15" s="5">
        <v>238977.68</v>
      </c>
      <c r="O15" s="5">
        <v>481936.46</v>
      </c>
      <c r="P15" s="5">
        <v>342189.55</v>
      </c>
    </row>
    <row r="16" spans="1:16">
      <c r="A16" s="3">
        <v>12</v>
      </c>
      <c r="B16" s="1" t="s">
        <v>143</v>
      </c>
      <c r="C16" s="4" t="s">
        <v>43</v>
      </c>
      <c r="D16" s="4" t="s">
        <v>97</v>
      </c>
      <c r="E16" s="5">
        <v>212602.99</v>
      </c>
      <c r="F16" s="5">
        <v>146060.32999999999</v>
      </c>
      <c r="G16" s="5">
        <v>181988.57</v>
      </c>
      <c r="H16" s="5">
        <v>173863.08</v>
      </c>
      <c r="I16" s="5">
        <v>223701.67</v>
      </c>
      <c r="J16" s="5">
        <v>211675.45</v>
      </c>
      <c r="K16" s="5">
        <v>205902.24</v>
      </c>
      <c r="L16" s="5">
        <v>241012.43</v>
      </c>
      <c r="M16" s="5">
        <v>212272.56</v>
      </c>
      <c r="N16" s="5">
        <v>249551.03</v>
      </c>
      <c r="O16" s="5">
        <v>215023.1</v>
      </c>
      <c r="P16" s="5">
        <v>303731.02</v>
      </c>
    </row>
    <row r="17" spans="1:16">
      <c r="A17" s="3">
        <v>13</v>
      </c>
      <c r="B17" s="1" t="s">
        <v>144</v>
      </c>
      <c r="C17" s="4" t="s">
        <v>47</v>
      </c>
      <c r="D17" s="4" t="s">
        <v>91</v>
      </c>
      <c r="E17" s="5">
        <v>4.88</v>
      </c>
      <c r="F17" s="5">
        <v>4.67</v>
      </c>
      <c r="G17" s="5">
        <v>4.7300000000000004</v>
      </c>
      <c r="H17" s="5">
        <v>4.79</v>
      </c>
      <c r="I17" s="5">
        <v>5.01</v>
      </c>
      <c r="J17" s="5">
        <v>5.51</v>
      </c>
      <c r="K17" s="5">
        <v>5.58</v>
      </c>
      <c r="L17" s="5">
        <v>5.44</v>
      </c>
      <c r="M17" s="5">
        <v>6.06</v>
      </c>
      <c r="N17" s="5">
        <v>5.33</v>
      </c>
      <c r="O17" s="5">
        <v>5.96</v>
      </c>
      <c r="P17" s="5">
        <v>4.78</v>
      </c>
    </row>
    <row r="18" spans="1:16">
      <c r="A18" s="3">
        <v>14</v>
      </c>
      <c r="B18" s="1" t="s">
        <v>145</v>
      </c>
      <c r="C18" s="4" t="s">
        <v>47</v>
      </c>
      <c r="D18" s="4" t="s">
        <v>89</v>
      </c>
      <c r="E18" s="5">
        <v>114.25</v>
      </c>
      <c r="F18" s="5">
        <v>122.74</v>
      </c>
      <c r="G18" s="5">
        <v>120.82</v>
      </c>
      <c r="H18" s="5">
        <v>127.54</v>
      </c>
      <c r="I18" s="5">
        <v>110.62</v>
      </c>
      <c r="J18" s="5">
        <v>114.31</v>
      </c>
      <c r="K18" s="5">
        <v>107.53</v>
      </c>
      <c r="L18" s="5">
        <v>130.19999999999999</v>
      </c>
      <c r="M18" s="5">
        <v>136.99</v>
      </c>
      <c r="N18" s="5">
        <v>140.21</v>
      </c>
      <c r="O18" s="5">
        <v>176.81</v>
      </c>
      <c r="P18" s="5">
        <v>144.38</v>
      </c>
    </row>
    <row r="19" spans="1:16">
      <c r="A19" s="3">
        <v>15</v>
      </c>
      <c r="B19" s="1" t="s">
        <v>146</v>
      </c>
      <c r="C19" s="4" t="s">
        <v>47</v>
      </c>
      <c r="D19" s="4" t="s">
        <v>44</v>
      </c>
      <c r="E19" s="5">
        <v>9.86</v>
      </c>
      <c r="F19" s="5">
        <v>9.73</v>
      </c>
      <c r="G19" s="5">
        <v>9.75</v>
      </c>
      <c r="H19" s="5">
        <v>11.35</v>
      </c>
      <c r="I19" s="5">
        <v>10.92</v>
      </c>
      <c r="J19" s="5">
        <v>11.36</v>
      </c>
      <c r="K19" s="5">
        <v>11.96</v>
      </c>
      <c r="L19" s="5">
        <v>12.82</v>
      </c>
      <c r="M19" s="5">
        <v>23.59</v>
      </c>
      <c r="N19" s="5">
        <v>13.4</v>
      </c>
      <c r="O19" s="5">
        <v>24.36</v>
      </c>
      <c r="P19" s="5">
        <v>13.16</v>
      </c>
    </row>
    <row r="20" spans="1:16">
      <c r="A20" s="3">
        <v>16</v>
      </c>
      <c r="B20" s="1" t="s">
        <v>147</v>
      </c>
      <c r="C20" s="4" t="s">
        <v>47</v>
      </c>
      <c r="D20" s="4" t="s">
        <v>89</v>
      </c>
      <c r="E20" s="5">
        <v>1.33</v>
      </c>
      <c r="F20" s="5">
        <v>1.26</v>
      </c>
      <c r="G20" s="5">
        <v>1.18</v>
      </c>
      <c r="H20" s="5">
        <v>1.26</v>
      </c>
      <c r="I20" s="5">
        <v>1.1599999999999999</v>
      </c>
      <c r="J20" s="5">
        <v>1</v>
      </c>
      <c r="K20" s="5">
        <v>1.1599999999999999</v>
      </c>
      <c r="L20" s="5">
        <v>1.32</v>
      </c>
      <c r="M20" s="5">
        <v>0.89</v>
      </c>
      <c r="N20" s="5">
        <v>1.06</v>
      </c>
      <c r="O20" s="5">
        <v>0.59</v>
      </c>
      <c r="P20" s="5">
        <v>1.02</v>
      </c>
    </row>
    <row r="21" spans="1:16">
      <c r="A21" s="3">
        <v>17</v>
      </c>
      <c r="B21" s="1" t="s">
        <v>148</v>
      </c>
      <c r="C21" s="4" t="s">
        <v>47</v>
      </c>
      <c r="D21" s="4" t="s">
        <v>89</v>
      </c>
      <c r="E21" s="5">
        <v>39.82</v>
      </c>
      <c r="F21" s="5">
        <v>42.27</v>
      </c>
      <c r="G21" s="5">
        <v>39.65</v>
      </c>
      <c r="H21" s="5">
        <v>39.15</v>
      </c>
      <c r="I21" s="5">
        <v>38.36</v>
      </c>
      <c r="J21" s="5">
        <v>36.78</v>
      </c>
      <c r="K21" s="5">
        <v>36.19</v>
      </c>
      <c r="L21" s="5">
        <v>35.950000000000003</v>
      </c>
      <c r="M21" s="5">
        <v>33.450000000000003</v>
      </c>
      <c r="N21" s="5">
        <v>35.74</v>
      </c>
      <c r="O21" s="5">
        <v>34.090000000000003</v>
      </c>
      <c r="P21" s="5">
        <v>36.29</v>
      </c>
    </row>
    <row r="22" spans="1:16">
      <c r="A22" s="3">
        <v>18</v>
      </c>
      <c r="B22" s="1" t="s">
        <v>149</v>
      </c>
      <c r="C22" s="4" t="s">
        <v>47</v>
      </c>
      <c r="D22" s="4" t="s">
        <v>91</v>
      </c>
      <c r="E22" s="5"/>
      <c r="F22" s="5"/>
      <c r="G22" s="5"/>
      <c r="H22" s="5">
        <v>9.15</v>
      </c>
      <c r="I22" s="5"/>
      <c r="J22" s="5"/>
      <c r="K22" s="5"/>
      <c r="L22" s="5">
        <v>11.35</v>
      </c>
      <c r="M22" s="5"/>
      <c r="N22" s="5"/>
      <c r="O22" s="5"/>
      <c r="P22" s="5">
        <v>10.220000000000001</v>
      </c>
    </row>
    <row r="23" spans="1:16">
      <c r="A23" s="3">
        <v>19</v>
      </c>
      <c r="B23" s="1" t="s">
        <v>150</v>
      </c>
      <c r="C23" s="4" t="s">
        <v>47</v>
      </c>
      <c r="D23" s="4" t="s">
        <v>89</v>
      </c>
      <c r="E23" s="5"/>
      <c r="F23" s="5"/>
      <c r="G23" s="5"/>
      <c r="H23" s="5"/>
      <c r="I23" s="5"/>
      <c r="J23" s="5"/>
      <c r="K23" s="5"/>
      <c r="L23" s="5"/>
      <c r="M23" s="5"/>
      <c r="N23" s="5"/>
      <c r="O23" s="5"/>
      <c r="P23" s="5">
        <v>3.51</v>
      </c>
    </row>
    <row r="24" spans="1:16" ht="29" customHeight="1">
      <c r="A24" s="3">
        <v>20</v>
      </c>
      <c r="B24" s="1" t="s">
        <v>151</v>
      </c>
      <c r="C24" s="4" t="s">
        <v>47</v>
      </c>
      <c r="D24" s="4" t="s">
        <v>89</v>
      </c>
      <c r="E24" s="5"/>
      <c r="F24" s="5"/>
      <c r="G24" s="5"/>
      <c r="H24" s="5">
        <v>2.6200000000000001E-2</v>
      </c>
      <c r="I24" s="5"/>
      <c r="J24" s="5"/>
      <c r="K24" s="5"/>
      <c r="L24" s="5">
        <v>7.46E-2</v>
      </c>
      <c r="M24" s="5"/>
      <c r="N24" s="5"/>
      <c r="O24" s="5"/>
      <c r="P24" s="5">
        <v>3.3999999999999998E-3</v>
      </c>
    </row>
  </sheetData>
  <mergeCells count="2">
    <mergeCell ref="A1:P1"/>
    <mergeCell ref="A2:P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7C27E-B748-4DC8-9D0B-9C4402D5A5A1}">
  <dimension ref="G7:G9"/>
  <sheetViews>
    <sheetView workbookViewId="0">
      <selection activeCell="G10" sqref="G10"/>
    </sheetView>
  </sheetViews>
  <sheetFormatPr defaultRowHeight="14.5"/>
  <cols>
    <col min="7" max="7" width="9.81640625" bestFit="1" customWidth="1"/>
  </cols>
  <sheetData>
    <row r="7" spans="7:7">
      <c r="G7">
        <v>527339.77</v>
      </c>
    </row>
    <row r="8" spans="7:7">
      <c r="G8" s="5">
        <v>864151.75</v>
      </c>
    </row>
    <row r="9" spans="7:7">
      <c r="G9">
        <f>SUM(G7:G8)</f>
        <v>1391491.52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9"/>
  <sheetViews>
    <sheetView workbookViewId="0">
      <pane ySplit="4" topLeftCell="A5" activePane="bottomLeft" state="frozen"/>
      <selection pane="bottomLeft" sqref="A1:G1"/>
    </sheetView>
  </sheetViews>
  <sheetFormatPr defaultRowHeight="14.5"/>
  <cols>
    <col min="1" max="1" width="4.6328125" customWidth="1"/>
    <col min="2" max="2" width="44.6328125" customWidth="1"/>
    <col min="3" max="3" width="8.6328125" customWidth="1"/>
    <col min="4" max="4" width="20.6328125" customWidth="1"/>
    <col min="5" max="7" width="14.6328125" customWidth="1"/>
  </cols>
  <sheetData>
    <row r="1" spans="1:7" ht="17" customHeight="1">
      <c r="A1" s="18" t="s">
        <v>152</v>
      </c>
      <c r="B1" s="14"/>
      <c r="C1" s="14"/>
      <c r="D1" s="14"/>
      <c r="E1" s="14"/>
      <c r="F1" s="14"/>
      <c r="G1" s="14"/>
    </row>
    <row r="2" spans="1:7" ht="44" customHeight="1">
      <c r="A2" s="19" t="s">
        <v>153</v>
      </c>
      <c r="B2" s="14"/>
      <c r="C2" s="14"/>
      <c r="D2" s="14"/>
      <c r="E2" s="14"/>
      <c r="F2" s="14"/>
      <c r="G2" s="14"/>
    </row>
    <row r="4" spans="1:7">
      <c r="A4" s="7" t="s">
        <v>2</v>
      </c>
      <c r="B4" s="7" t="s">
        <v>3</v>
      </c>
      <c r="C4" s="7" t="s">
        <v>4</v>
      </c>
      <c r="D4" s="7" t="s">
        <v>154</v>
      </c>
      <c r="E4" s="7">
        <v>2023</v>
      </c>
      <c r="F4" s="7">
        <v>2024</v>
      </c>
      <c r="G4" s="7">
        <v>2025</v>
      </c>
    </row>
    <row r="5" spans="1:7">
      <c r="A5" s="16" t="s">
        <v>155</v>
      </c>
      <c r="B5" s="17"/>
      <c r="C5" s="17"/>
      <c r="D5" s="17"/>
      <c r="E5" s="17"/>
      <c r="F5" s="17"/>
      <c r="G5" s="17"/>
    </row>
    <row r="6" spans="1:7">
      <c r="A6" s="8">
        <v>1</v>
      </c>
      <c r="B6" s="9" t="s">
        <v>156</v>
      </c>
      <c r="C6" s="10" t="s">
        <v>43</v>
      </c>
      <c r="D6" s="10" t="s">
        <v>155</v>
      </c>
      <c r="E6" s="11"/>
      <c r="F6" s="11"/>
      <c r="G6" s="11">
        <v>70057.600000000006</v>
      </c>
    </row>
    <row r="7" spans="1:7">
      <c r="A7" s="16" t="s">
        <v>157</v>
      </c>
      <c r="B7" s="17"/>
      <c r="C7" s="17"/>
      <c r="D7" s="17"/>
      <c r="E7" s="17"/>
      <c r="F7" s="17"/>
      <c r="G7" s="17"/>
    </row>
    <row r="8" spans="1:7">
      <c r="A8" s="8">
        <v>2</v>
      </c>
      <c r="B8" s="9" t="s">
        <v>158</v>
      </c>
      <c r="C8" s="10" t="s">
        <v>43</v>
      </c>
      <c r="D8" s="10" t="s">
        <v>157</v>
      </c>
      <c r="E8" s="11">
        <v>24592.98</v>
      </c>
      <c r="F8" s="11">
        <v>30533.279999999999</v>
      </c>
      <c r="G8" s="11">
        <v>36558.5</v>
      </c>
    </row>
    <row r="9" spans="1:7">
      <c r="A9" s="8">
        <v>3</v>
      </c>
      <c r="B9" s="9" t="s">
        <v>159</v>
      </c>
      <c r="C9" s="10" t="s">
        <v>160</v>
      </c>
      <c r="D9" s="10" t="s">
        <v>157</v>
      </c>
      <c r="E9" s="11">
        <v>22.38</v>
      </c>
      <c r="F9" s="11">
        <v>16.38</v>
      </c>
      <c r="G9" s="11">
        <v>16.850000000000001</v>
      </c>
    </row>
    <row r="10" spans="1:7">
      <c r="A10" s="8">
        <v>4</v>
      </c>
      <c r="B10" s="9" t="s">
        <v>161</v>
      </c>
      <c r="C10" s="10" t="s">
        <v>43</v>
      </c>
      <c r="D10" s="10" t="s">
        <v>157</v>
      </c>
      <c r="E10" s="11">
        <v>284657.37</v>
      </c>
      <c r="F10" s="11">
        <v>411584.74</v>
      </c>
      <c r="G10" s="11">
        <v>453192.06</v>
      </c>
    </row>
    <row r="11" spans="1:7" ht="29" customHeight="1">
      <c r="A11" s="8">
        <v>5</v>
      </c>
      <c r="B11" s="9" t="s">
        <v>162</v>
      </c>
      <c r="C11" s="10" t="s">
        <v>43</v>
      </c>
      <c r="D11" s="10" t="s">
        <v>157</v>
      </c>
      <c r="E11" s="11"/>
      <c r="F11" s="11">
        <v>437839.15</v>
      </c>
      <c r="G11" s="11">
        <v>506222.95</v>
      </c>
    </row>
    <row r="12" spans="1:7">
      <c r="A12" s="8">
        <v>6</v>
      </c>
      <c r="B12" s="9" t="s">
        <v>163</v>
      </c>
      <c r="C12" s="10" t="s">
        <v>43</v>
      </c>
      <c r="D12" s="10" t="s">
        <v>157</v>
      </c>
      <c r="E12" s="11">
        <v>317969.59999999998</v>
      </c>
      <c r="F12" s="11">
        <v>343468.1</v>
      </c>
      <c r="G12" s="11"/>
    </row>
    <row r="13" spans="1:7">
      <c r="A13" s="8">
        <v>7</v>
      </c>
      <c r="B13" s="9" t="s">
        <v>164</v>
      </c>
      <c r="C13" s="10" t="s">
        <v>43</v>
      </c>
      <c r="D13" s="10" t="s">
        <v>157</v>
      </c>
      <c r="E13" s="11">
        <v>203841</v>
      </c>
      <c r="F13" s="11">
        <v>214242</v>
      </c>
      <c r="G13" s="11"/>
    </row>
    <row r="14" spans="1:7">
      <c r="A14" s="8">
        <v>8</v>
      </c>
      <c r="B14" s="9" t="s">
        <v>165</v>
      </c>
      <c r="C14" s="10" t="s">
        <v>47</v>
      </c>
      <c r="D14" s="10" t="s">
        <v>157</v>
      </c>
      <c r="E14" s="11">
        <v>1.41</v>
      </c>
      <c r="F14" s="11">
        <v>1.36</v>
      </c>
      <c r="G14" s="11"/>
    </row>
    <row r="15" spans="1:7" ht="29" customHeight="1">
      <c r="A15" s="8">
        <v>9</v>
      </c>
      <c r="B15" s="9" t="s">
        <v>166</v>
      </c>
      <c r="C15" s="10" t="s">
        <v>43</v>
      </c>
      <c r="D15" s="10" t="s">
        <v>157</v>
      </c>
      <c r="E15" s="11"/>
      <c r="F15" s="11"/>
      <c r="G15" s="11">
        <v>113538</v>
      </c>
    </row>
    <row r="16" spans="1:7" ht="29" customHeight="1">
      <c r="A16" s="8">
        <v>10</v>
      </c>
      <c r="B16" s="9" t="s">
        <v>167</v>
      </c>
      <c r="C16" s="10" t="s">
        <v>43</v>
      </c>
      <c r="D16" s="10" t="s">
        <v>157</v>
      </c>
      <c r="E16" s="11"/>
      <c r="F16" s="11">
        <v>118281</v>
      </c>
      <c r="G16" s="11">
        <v>142039</v>
      </c>
    </row>
    <row r="17" spans="1:7" ht="29" customHeight="1">
      <c r="A17" s="8">
        <v>11</v>
      </c>
      <c r="B17" s="9" t="s">
        <v>168</v>
      </c>
      <c r="C17" s="10" t="s">
        <v>47</v>
      </c>
      <c r="D17" s="10" t="s">
        <v>157</v>
      </c>
      <c r="E17" s="11"/>
      <c r="F17" s="11">
        <v>6.87</v>
      </c>
      <c r="G17" s="11">
        <v>6.1</v>
      </c>
    </row>
    <row r="18" spans="1:7">
      <c r="A18" s="8">
        <v>12</v>
      </c>
      <c r="B18" s="9" t="s">
        <v>169</v>
      </c>
      <c r="C18" s="10" t="s">
        <v>43</v>
      </c>
      <c r="D18" s="10" t="s">
        <v>157</v>
      </c>
      <c r="E18" s="11"/>
      <c r="F18" s="11"/>
      <c r="G18" s="11">
        <v>491183.5</v>
      </c>
    </row>
    <row r="19" spans="1:7">
      <c r="A19" s="16" t="s">
        <v>170</v>
      </c>
      <c r="B19" s="17"/>
      <c r="C19" s="17"/>
      <c r="D19" s="17"/>
      <c r="E19" s="17"/>
      <c r="F19" s="17"/>
      <c r="G19" s="17"/>
    </row>
    <row r="20" spans="1:7">
      <c r="A20" s="8">
        <v>13</v>
      </c>
      <c r="B20" s="9" t="s">
        <v>171</v>
      </c>
      <c r="C20" s="10" t="s">
        <v>47</v>
      </c>
      <c r="D20" s="10" t="s">
        <v>170</v>
      </c>
      <c r="E20" s="11">
        <v>34.659999999999997</v>
      </c>
      <c r="F20" s="11">
        <v>32.15</v>
      </c>
      <c r="G20" s="11">
        <v>30.55</v>
      </c>
    </row>
    <row r="21" spans="1:7">
      <c r="A21" s="8">
        <v>14</v>
      </c>
      <c r="B21" s="9" t="s">
        <v>172</v>
      </c>
      <c r="C21" s="10" t="s">
        <v>47</v>
      </c>
      <c r="D21" s="10" t="s">
        <v>170</v>
      </c>
      <c r="E21" s="11"/>
      <c r="F21" s="11">
        <v>11.03</v>
      </c>
      <c r="G21" s="11">
        <v>14.66</v>
      </c>
    </row>
    <row r="22" spans="1:7">
      <c r="A22" s="8">
        <v>15</v>
      </c>
      <c r="B22" s="9" t="s">
        <v>173</v>
      </c>
      <c r="C22" s="10" t="s">
        <v>47</v>
      </c>
      <c r="D22" s="10" t="s">
        <v>170</v>
      </c>
      <c r="E22" s="11"/>
      <c r="F22" s="11">
        <v>9.26</v>
      </c>
      <c r="G22" s="11">
        <v>20.2</v>
      </c>
    </row>
    <row r="23" spans="1:7">
      <c r="A23" s="16" t="s">
        <v>174</v>
      </c>
      <c r="B23" s="17"/>
      <c r="C23" s="17"/>
      <c r="D23" s="17"/>
      <c r="E23" s="17"/>
      <c r="F23" s="17"/>
      <c r="G23" s="17"/>
    </row>
    <row r="24" spans="1:7" ht="29" customHeight="1">
      <c r="A24" s="8">
        <v>16</v>
      </c>
      <c r="B24" s="9" t="s">
        <v>175</v>
      </c>
      <c r="C24" s="10" t="s">
        <v>43</v>
      </c>
      <c r="D24" s="10" t="s">
        <v>174</v>
      </c>
      <c r="E24" s="11">
        <v>238679.05</v>
      </c>
      <c r="F24" s="11">
        <v>314682.81</v>
      </c>
      <c r="G24" s="11">
        <v>329219.95</v>
      </c>
    </row>
    <row r="25" spans="1:7">
      <c r="A25" s="8">
        <v>17</v>
      </c>
      <c r="B25" s="9" t="s">
        <v>176</v>
      </c>
      <c r="C25" s="10" t="s">
        <v>43</v>
      </c>
      <c r="D25" s="10" t="s">
        <v>174</v>
      </c>
      <c r="E25" s="11">
        <v>55251.75</v>
      </c>
      <c r="F25" s="11">
        <v>66285.55</v>
      </c>
      <c r="G25" s="11">
        <v>70265.429999999993</v>
      </c>
    </row>
    <row r="26" spans="1:7">
      <c r="A26" s="8">
        <v>18</v>
      </c>
      <c r="B26" s="9" t="s">
        <v>177</v>
      </c>
      <c r="C26" s="10" t="s">
        <v>43</v>
      </c>
      <c r="D26" s="10" t="s">
        <v>174</v>
      </c>
      <c r="E26" s="11">
        <v>80406.87</v>
      </c>
      <c r="F26" s="11">
        <v>89621.41</v>
      </c>
      <c r="G26" s="11">
        <v>101798.21</v>
      </c>
    </row>
    <row r="27" spans="1:7">
      <c r="A27" s="8">
        <v>19</v>
      </c>
      <c r="B27" s="9" t="s">
        <v>178</v>
      </c>
      <c r="C27" s="10" t="s">
        <v>43</v>
      </c>
      <c r="D27" s="10" t="s">
        <v>174</v>
      </c>
      <c r="E27" s="11">
        <v>27872.26</v>
      </c>
      <c r="F27" s="11">
        <v>28816.49</v>
      </c>
      <c r="G27" s="11">
        <v>31095.66</v>
      </c>
    </row>
    <row r="28" spans="1:7">
      <c r="A28" s="8">
        <v>20</v>
      </c>
      <c r="B28" s="9" t="s">
        <v>179</v>
      </c>
      <c r="C28" s="10" t="s">
        <v>43</v>
      </c>
      <c r="D28" s="10" t="s">
        <v>174</v>
      </c>
      <c r="E28" s="11">
        <v>25676.66</v>
      </c>
      <c r="F28" s="11">
        <v>27760.99</v>
      </c>
      <c r="G28" s="11">
        <v>31552.06</v>
      </c>
    </row>
    <row r="29" spans="1:7">
      <c r="A29" s="8">
        <v>21</v>
      </c>
      <c r="B29" s="9" t="s">
        <v>180</v>
      </c>
      <c r="C29" s="10" t="s">
        <v>43</v>
      </c>
      <c r="D29" s="10" t="s">
        <v>174</v>
      </c>
      <c r="E29" s="11">
        <v>20530.330000000002</v>
      </c>
      <c r="F29" s="11">
        <v>22239.24</v>
      </c>
      <c r="G29" s="11">
        <v>25437.83</v>
      </c>
    </row>
    <row r="30" spans="1:7">
      <c r="A30" s="8">
        <v>22</v>
      </c>
      <c r="B30" s="9" t="s">
        <v>181</v>
      </c>
      <c r="C30" s="10" t="s">
        <v>47</v>
      </c>
      <c r="D30" s="10" t="s">
        <v>174</v>
      </c>
      <c r="E30" s="11">
        <v>2.88</v>
      </c>
      <c r="F30" s="11">
        <v>3.15</v>
      </c>
      <c r="G30" s="11">
        <v>2.77</v>
      </c>
    </row>
    <row r="31" spans="1:7">
      <c r="A31" s="8">
        <v>23</v>
      </c>
      <c r="B31" s="9" t="s">
        <v>182</v>
      </c>
      <c r="C31" s="10" t="s">
        <v>47</v>
      </c>
      <c r="D31" s="10" t="s">
        <v>174</v>
      </c>
      <c r="E31" s="11">
        <v>1.06</v>
      </c>
      <c r="F31" s="11">
        <v>1.05</v>
      </c>
      <c r="G31" s="11">
        <v>0.99</v>
      </c>
    </row>
    <row r="32" spans="1:7">
      <c r="A32" s="8">
        <v>24</v>
      </c>
      <c r="B32" s="9" t="s">
        <v>183</v>
      </c>
      <c r="C32" s="10" t="s">
        <v>47</v>
      </c>
      <c r="D32" s="10" t="s">
        <v>174</v>
      </c>
      <c r="E32" s="11">
        <v>22.23</v>
      </c>
      <c r="F32" s="11">
        <v>19.43</v>
      </c>
      <c r="G32" s="11">
        <v>17.97</v>
      </c>
    </row>
    <row r="33" spans="1:7">
      <c r="A33" s="16" t="s">
        <v>184</v>
      </c>
      <c r="B33" s="17"/>
      <c r="C33" s="17"/>
      <c r="D33" s="17"/>
      <c r="E33" s="17"/>
      <c r="F33" s="17"/>
      <c r="G33" s="17"/>
    </row>
    <row r="34" spans="1:7" ht="29" customHeight="1">
      <c r="A34" s="8">
        <v>25</v>
      </c>
      <c r="B34" s="9" t="s">
        <v>185</v>
      </c>
      <c r="C34" s="10" t="s">
        <v>47</v>
      </c>
      <c r="D34" s="10" t="s">
        <v>184</v>
      </c>
      <c r="E34" s="11">
        <v>15.891999999999999</v>
      </c>
      <c r="F34" s="11">
        <v>15.406000000000001</v>
      </c>
      <c r="G34" s="11">
        <v>14.231</v>
      </c>
    </row>
    <row r="35" spans="1:7">
      <c r="A35" s="16" t="s">
        <v>186</v>
      </c>
      <c r="B35" s="17"/>
      <c r="C35" s="17"/>
      <c r="D35" s="17"/>
      <c r="E35" s="17"/>
      <c r="F35" s="17"/>
      <c r="G35" s="17"/>
    </row>
    <row r="36" spans="1:7">
      <c r="A36" s="8">
        <v>26</v>
      </c>
      <c r="B36" s="9" t="s">
        <v>187</v>
      </c>
      <c r="C36" s="10" t="s">
        <v>43</v>
      </c>
      <c r="D36" s="10" t="s">
        <v>186</v>
      </c>
      <c r="E36" s="11">
        <v>2025978.5330000001</v>
      </c>
      <c r="F36" s="11">
        <v>2211732.611</v>
      </c>
      <c r="G36" s="11">
        <v>2659914.85</v>
      </c>
    </row>
    <row r="37" spans="1:7">
      <c r="A37" s="8">
        <v>27</v>
      </c>
      <c r="B37" s="9" t="s">
        <v>188</v>
      </c>
      <c r="C37" s="10" t="s">
        <v>43</v>
      </c>
      <c r="D37" s="10" t="s">
        <v>186</v>
      </c>
      <c r="E37" s="11">
        <v>1886219.527</v>
      </c>
      <c r="F37" s="11">
        <v>2065776.345</v>
      </c>
      <c r="G37" s="11">
        <v>2498693.5630000001</v>
      </c>
    </row>
    <row r="38" spans="1:7" ht="29" customHeight="1">
      <c r="A38" s="8">
        <v>28</v>
      </c>
      <c r="B38" s="9" t="s">
        <v>189</v>
      </c>
      <c r="C38" s="10" t="s">
        <v>47</v>
      </c>
      <c r="D38" s="10" t="s">
        <v>186</v>
      </c>
      <c r="E38" s="11">
        <v>142.71199999999999</v>
      </c>
      <c r="F38" s="11">
        <v>120.163</v>
      </c>
      <c r="G38" s="11">
        <v>125.749</v>
      </c>
    </row>
    <row r="39" spans="1:7">
      <c r="A39" s="8">
        <v>29</v>
      </c>
      <c r="B39" s="9" t="s">
        <v>190</v>
      </c>
      <c r="C39" s="10" t="s">
        <v>47</v>
      </c>
      <c r="D39" s="10" t="s">
        <v>186</v>
      </c>
      <c r="E39" s="11">
        <v>1.3</v>
      </c>
      <c r="F39" s="11">
        <v>1.1100000000000001</v>
      </c>
      <c r="G39" s="11">
        <v>0.94</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Ngày</vt:lpstr>
      <vt:lpstr>Tháng</vt:lpstr>
      <vt:lpstr>Quý</vt:lpstr>
      <vt:lpstr>Sheet1</vt:lpstr>
      <vt:lpstr>Năm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Khôi Lưu</dc:creator>
  <cp:lastModifiedBy>Khôi Lưu</cp:lastModifiedBy>
  <dcterms:created xsi:type="dcterms:W3CDTF">2026-06-06T08:24:21Z</dcterms:created>
  <dcterms:modified xsi:type="dcterms:W3CDTF">2026-07-22T09:47:19Z</dcterms:modified>
</cp:coreProperties>
</file>